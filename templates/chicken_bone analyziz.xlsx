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166925"/>
  <mc:AlternateContent xmlns:mc="http://schemas.openxmlformats.org/markup-compatibility/2006">
    <mc:Choice Requires="x15">
      <x15ac:absPath xmlns:x15ac="http://schemas.microsoft.com/office/spreadsheetml/2010/11/ac" url="/Users/sderhami/Documents/Apps/nutDataGen/templates/"/>
    </mc:Choice>
  </mc:AlternateContent>
  <xr:revisionPtr revIDLastSave="0" documentId="13_ncr:1_{4BFB9D05-418A-EA41-A5FA-49E60048B140}" xr6:coauthVersionLast="47" xr6:coauthVersionMax="47" xr10:uidLastSave="{00000000-0000-0000-0000-000000000000}"/>
  <bookViews>
    <workbookView xWindow="-48400" yWindow="3060" windowWidth="40120" windowHeight="21240" xr2:uid="{CA982CCA-F52D-EB4A-A696-24CC6C7FDE8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53" i="1" l="1"/>
  <c r="J52" i="1"/>
</calcChain>
</file>

<file path=xl/sharedStrings.xml><?xml version="1.0" encoding="utf-8"?>
<sst xmlns="http://schemas.openxmlformats.org/spreadsheetml/2006/main" count="221" uniqueCount="102">
  <si>
    <t>chicken bones raw</t>
  </si>
  <si>
    <t>Crude Protein</t>
  </si>
  <si>
    <t>Protein</t>
  </si>
  <si>
    <t>g</t>
  </si>
  <si>
    <t>Arginine</t>
  </si>
  <si>
    <t>Histidine</t>
  </si>
  <si>
    <t>Isoleucine</t>
  </si>
  <si>
    <t>Leucine</t>
  </si>
  <si>
    <t>Lysine</t>
  </si>
  <si>
    <t>Methionine</t>
  </si>
  <si>
    <t>Cystine</t>
  </si>
  <si>
    <t>Phenylalanine</t>
  </si>
  <si>
    <t>Tyrosine</t>
  </si>
  <si>
    <t>Threonine</t>
  </si>
  <si>
    <t>Tryptophan</t>
  </si>
  <si>
    <t>Valine</t>
  </si>
  <si>
    <t>Taurine</t>
  </si>
  <si>
    <t>mg</t>
  </si>
  <si>
    <t>Total Fat</t>
  </si>
  <si>
    <t>Total lipid (fat)</t>
  </si>
  <si>
    <t>Linoleic acid</t>
  </si>
  <si>
    <t>PUFA 18:2</t>
  </si>
  <si>
    <t>Arachidonic acid</t>
  </si>
  <si>
    <t>PUFA 20:4</t>
  </si>
  <si>
    <t>Alpha-linolenic acid</t>
  </si>
  <si>
    <t>PUFA 18:3</t>
  </si>
  <si>
    <t>EPA</t>
  </si>
  <si>
    <t>PUFA 20:5 n-3 (EPA)</t>
  </si>
  <si>
    <t>DHA</t>
  </si>
  <si>
    <t>PUFA 22:6 n-3 (DHA)</t>
  </si>
  <si>
    <t>Calcium</t>
  </si>
  <si>
    <t>Calcium, Ca</t>
  </si>
  <si>
    <t>Phosphorus</t>
  </si>
  <si>
    <t>Phosphorus, P</t>
  </si>
  <si>
    <t>Potassium</t>
  </si>
  <si>
    <t>Potassium, K</t>
  </si>
  <si>
    <t>Sodium</t>
  </si>
  <si>
    <t>Sodium, Na</t>
  </si>
  <si>
    <t>Chloride</t>
  </si>
  <si>
    <t>Magnesium</t>
  </si>
  <si>
    <t>Magnesium, Mg</t>
  </si>
  <si>
    <t>Iron</t>
  </si>
  <si>
    <t>Iron, Fe</t>
  </si>
  <si>
    <t>Copper</t>
  </si>
  <si>
    <t>Copper, Cu</t>
  </si>
  <si>
    <t>Manganese</t>
  </si>
  <si>
    <t>Manganese, Mn</t>
  </si>
  <si>
    <t>Zinc</t>
  </si>
  <si>
    <t>Zinc, Zn</t>
  </si>
  <si>
    <t>Iodine</t>
  </si>
  <si>
    <t>¬µg</t>
  </si>
  <si>
    <t>Selenium</t>
  </si>
  <si>
    <t>Selenium, Se</t>
  </si>
  <si>
    <t>Vitamin A</t>
  </si>
  <si>
    <t>Vitamin A, RAE</t>
  </si>
  <si>
    <t>IU</t>
  </si>
  <si>
    <t>Vitamin D</t>
  </si>
  <si>
    <t>Vitamin D (D2 + D3), International Units</t>
  </si>
  <si>
    <t>Vitamin E</t>
  </si>
  <si>
    <t>Vitamin E (alpha-tocopherol)</t>
  </si>
  <si>
    <t>Vitamin K</t>
  </si>
  <si>
    <t>Vitamin K (phylloquinone)</t>
  </si>
  <si>
    <t>Thiamin</t>
  </si>
  <si>
    <t>Riboflavin</t>
  </si>
  <si>
    <t>Niacin</t>
  </si>
  <si>
    <t>Pantothenic acid</t>
  </si>
  <si>
    <t>Pyridoxine</t>
  </si>
  <si>
    <t>Vitamin B-6</t>
  </si>
  <si>
    <t>Folic acid</t>
  </si>
  <si>
    <t>Folate, total</t>
  </si>
  <si>
    <t>Cobalamin</t>
  </si>
  <si>
    <t>Vitamin B-12</t>
  </si>
  <si>
    <t>Biotin</t>
  </si>
  <si>
    <t>Choline</t>
  </si>
  <si>
    <t>Choline, total</t>
  </si>
  <si>
    <t>Energy</t>
  </si>
  <si>
    <t>kcal</t>
  </si>
  <si>
    <t>Water</t>
  </si>
  <si>
    <t>Ash</t>
  </si>
  <si>
    <t>Crude Fiber</t>
  </si>
  <si>
    <t>Fiber, total dietary</t>
  </si>
  <si>
    <t>Carbohydrate</t>
  </si>
  <si>
    <t>Carbohydrate, by difference</t>
  </si>
  <si>
    <t>id</t>
  </si>
  <si>
    <t>food_name</t>
  </si>
  <si>
    <t>food_id</t>
  </si>
  <si>
    <t>nutrient_id</t>
  </si>
  <si>
    <t>fediaf_nutrient_name</t>
  </si>
  <si>
    <t>usda_nutrient_name</t>
  </si>
  <si>
    <t>unit</t>
  </si>
  <si>
    <t>value</t>
  </si>
  <si>
    <t>retention factor</t>
  </si>
  <si>
    <t>coocked_value</t>
  </si>
  <si>
    <t>Taurine is found predominantly in muscle tissue (heart, dark meat), not in bone matrix. Chicken bones contain very little free taurine. Published values for taurine in chicken skeletal muscle range from 50–150 mg/100g, but bone is not a taurine-containing tissue. Your value of 4 mg/100g could apply to trace amounts from adherent muscle tissue on bones, but as a pure bone value it is questionable.
Suggested correction: Raw chicken bone likely contains &lt;1 mg taurine per 100g as a matrix nutrient. If the bones have substantial adherent meat, 2–5 mg may be defensible. This should be flagged as estimated/uncertain.
Reference: No direct bone taurine data found in peer-reviewed literature — value is inferred from tissue composition studies.</t>
  </si>
  <si>
    <t>Frontiers in Nutrition, PMC9193221 (2022); Phoebe's Tails calcium study; Kakimov et al., Theory and Practice of Meat Processing, 6(1), 2021</t>
  </si>
  <si>
    <t>The Ca:P ratio in chicken bone is consistently reported as approximately 2:1 in the literature (PMC9193221, Frontiers in Nutrition, 2022; multiple USDA-cited sources). If calcium is ~7,000 mg, phosphorus should be approximately 3,500 mg/100g, not 890 mg.
The 890 mg figure would only make sense for chicken meat (not bone), which typically contains 180–300 mg/100g. For raw bone-only material, the literature is clear:
	•	Phoebe's Tails (citing raw bone study): 2,600 mg/100g (mixed chicken bones)
	•	Kakimov et al. 2021 (poultry meat-bone paste, which is more dilute than pure bone): 200–2,564 mg depending on bone fraction
	•	PMC9193221 (Ca:P = 2:1 in pure bone): implies ~3,500 mg if Ca = 7,000 mg
Correction: Phosphorus should be approximately 3,000–3,500 mg/100g for raw chicken bone.</t>
  </si>
  <si>
    <t>Iron: 8.5 mg — SLIGHTLY HIGH
Literature values for iron in chicken bone are typically lower. Kakimov et al. (2021) report iron at 7.30 mg/100g in a meat-bone paste (which is more dilute than pure bone). Some studies cite 3,900 mg iron per kg in poultry bone residue (= 0.39 mg/100g in that fraction). However, chicken bones do contain marrow which has higher iron content. The peer-reviewed study on poultry meat-bone paste (ResearchGate, meatjournal.ru, 2021) reports 7.3 mg/100g, and a value of 8.5 mg/100g sits above published ranges.
Suggested correction: 4–8 mg/100g is a more appropriate range. Your value of 8.5 mg/100g is at the upper bound and may slightly overestimate.</t>
  </si>
  <si>
    <t>Reference: Kakimov et al., Theory and Practice of Meat Processing, 6(1), 2021; meatjournal.ru</t>
  </si>
  <si>
    <t>ai_justification</t>
  </si>
  <si>
    <t>ai_source</t>
  </si>
  <si>
    <t>total PUFA</t>
  </si>
  <si>
    <t>DPA (22:5n-3)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</si>
</sst>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Calibri"/>
      <family val="2"/>
      <scheme val="minor"/>
    </font>
    <font>
      <sz val="10"/>
      <name val="Arial"/>
      <family val="2"/>
    </font>
  </fonts>
  <fills count="6">
    <fill>
      <patternFill patternType="none"/>
    </fill>
    <fill>
      <patternFill patternType="gray125"/>
    </fill>
    <fill>
      <patternFill patternType="solid">
        <fgColor rgb="FFFFFF00"/>
        <bgColor indexed="64"/>
      </patternFill>
    </fill>
    <fill>
      <patternFill patternType="solid">
        <fgColor rgb="FFE2EFDA"/>
      </patternFill>
    </fill>
    <fill>
      <patternFill patternType="solid">
        <fgColor rgb="FFFFF2CC"/>
      </patternFill>
    </fill>
    <fill>
      <patternFill patternType="solid">
        <fgColor rgb="FFFCE4D6"/>
      </patternFill>
    </fill>
  </fills>
  <borders count="3">
    <border>
      <left/>
      <right/>
      <top/>
      <bottom/>
      <diagonal/>
    </border>
    <border>
      <left style="thin">
        <color rgb="FFAAAAAA"/>
      </left>
      <right style="thin">
        <color rgb="FFAAAAAA"/>
      </right>
      <top style="thin">
        <color rgb="FFAAAAAA"/>
      </top>
      <bottom style="thin">
        <color rgb="FFAAAAAA"/>
      </bottom>
      <diagonal/>
    </border>
    <border>
      <left style="thin">
        <color rgb="FFAAAAAA"/>
      </left>
      <right style="thin">
        <color rgb="FFAAAAAA"/>
      </right>
      <top/>
      <bottom/>
      <diagonal/>
    </border>
  </borders>
  <cellStyleXfs count="1">
    <xf numFmtId="0" fontId="0" fillId="0" borderId="0"/>
  </cellStyleXfs>
  <cellXfs count="7">
    <xf numFmtId="0" fontId="0" fillId="0" borderId="0" xfId="0"/>
    <xf numFmtId="0" fontId="0" fillId="2" borderId="0" xfId="0" applyFill="1"/>
    <xf numFmtId="2" fontId="1" fillId="3" borderId="1" xfId="0" applyNumberFormat="1" applyFont="1" applyFill="1" applyBorder="1" applyAlignment="1">
      <alignment horizontal="center" vertical="center"/>
    </xf>
    <xf numFmtId="2" fontId="1" fillId="4" borderId="1" xfId="0" applyNumberFormat="1" applyFont="1" applyFill="1" applyBorder="1" applyAlignment="1">
      <alignment horizontal="center" vertical="center"/>
    </xf>
    <xf numFmtId="2" fontId="1" fillId="5" borderId="1" xfId="0" applyNumberFormat="1" applyFont="1" applyFill="1" applyBorder="1" applyAlignment="1">
      <alignment horizontal="center" vertical="center"/>
    </xf>
    <xf numFmtId="0" fontId="0" fillId="0" borderId="0" xfId="0" applyAlignment="1">
      <alignment wrapText="1"/>
    </xf>
    <xf numFmtId="2" fontId="1" fillId="3" borderId="2"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7CF7A-B990-F44A-99E3-5340363B09BB}">
  <dimension ref="A1:L53"/>
  <sheetViews>
    <sheetView tabSelected="1" topLeftCell="A28" workbookViewId="0">
      <selection activeCell="H54" sqref="H54"/>
    </sheetView>
  </sheetViews>
  <sheetFormatPr baseColWidth="10" defaultRowHeight="16" x14ac:dyDescent="0.2"/>
  <cols>
    <col min="5" max="5" width="19.33203125" bestFit="1" customWidth="1"/>
    <col min="6" max="6" width="34.5" bestFit="1" customWidth="1"/>
    <col min="9" max="9" width="14" bestFit="1" customWidth="1"/>
    <col min="10" max="10" width="12.5" bestFit="1" customWidth="1"/>
    <col min="11" max="11" width="37" customWidth="1"/>
  </cols>
  <sheetData>
    <row r="1" spans="1:12" x14ac:dyDescent="0.2">
      <c r="A1" t="s">
        <v>83</v>
      </c>
      <c r="B1" t="s">
        <v>84</v>
      </c>
      <c r="C1" t="s">
        <v>85</v>
      </c>
      <c r="D1" t="s">
        <v>86</v>
      </c>
      <c r="E1" t="s">
        <v>87</v>
      </c>
      <c r="F1" t="s">
        <v>88</v>
      </c>
      <c r="G1" t="s">
        <v>89</v>
      </c>
      <c r="H1" t="s">
        <v>90</v>
      </c>
      <c r="I1" t="s">
        <v>91</v>
      </c>
      <c r="J1" t="s">
        <v>92</v>
      </c>
      <c r="K1" t="s">
        <v>98</v>
      </c>
      <c r="L1" t="s">
        <v>99</v>
      </c>
    </row>
    <row r="2" spans="1:12" x14ac:dyDescent="0.2">
      <c r="A2">
        <v>551</v>
      </c>
      <c r="B2" t="s">
        <v>0</v>
      </c>
      <c r="C2">
        <v>10012</v>
      </c>
      <c r="D2">
        <v>1003</v>
      </c>
      <c r="E2" t="s">
        <v>1</v>
      </c>
      <c r="F2" t="s">
        <v>2</v>
      </c>
      <c r="G2" t="s">
        <v>3</v>
      </c>
      <c r="H2">
        <v>12.5</v>
      </c>
      <c r="I2" s="2">
        <v>0.95</v>
      </c>
      <c r="J2">
        <v>11.875</v>
      </c>
    </row>
    <row r="3" spans="1:12" x14ac:dyDescent="0.2">
      <c r="A3">
        <v>552</v>
      </c>
      <c r="B3" t="s">
        <v>0</v>
      </c>
      <c r="C3">
        <v>10012</v>
      </c>
      <c r="D3">
        <v>1220</v>
      </c>
      <c r="E3" t="s">
        <v>4</v>
      </c>
      <c r="F3" t="s">
        <v>4</v>
      </c>
      <c r="G3" t="s">
        <v>3</v>
      </c>
      <c r="H3">
        <v>1.36</v>
      </c>
      <c r="I3" s="2">
        <v>0.93</v>
      </c>
      <c r="J3">
        <v>1.2648000000000001</v>
      </c>
    </row>
    <row r="4" spans="1:12" x14ac:dyDescent="0.2">
      <c r="A4">
        <v>553</v>
      </c>
      <c r="B4" t="s">
        <v>0</v>
      </c>
      <c r="C4">
        <v>10012</v>
      </c>
      <c r="D4">
        <v>1221</v>
      </c>
      <c r="E4" t="s">
        <v>5</v>
      </c>
      <c r="F4" t="s">
        <v>5</v>
      </c>
      <c r="G4" t="s">
        <v>3</v>
      </c>
      <c r="H4">
        <v>0.65</v>
      </c>
      <c r="I4" s="2">
        <v>0.93</v>
      </c>
      <c r="J4">
        <v>0.60450000000000004</v>
      </c>
    </row>
    <row r="5" spans="1:12" x14ac:dyDescent="0.2">
      <c r="A5">
        <v>554</v>
      </c>
      <c r="B5" t="s">
        <v>0</v>
      </c>
      <c r="C5">
        <v>10012</v>
      </c>
      <c r="D5">
        <v>1212</v>
      </c>
      <c r="E5" t="s">
        <v>6</v>
      </c>
      <c r="F5" t="s">
        <v>6</v>
      </c>
      <c r="G5" t="s">
        <v>3</v>
      </c>
      <c r="H5">
        <v>0.85</v>
      </c>
      <c r="I5" s="2">
        <v>0.93</v>
      </c>
      <c r="J5">
        <v>0.79049999999999998</v>
      </c>
    </row>
    <row r="6" spans="1:12" x14ac:dyDescent="0.2">
      <c r="A6">
        <v>555</v>
      </c>
      <c r="B6" t="s">
        <v>0</v>
      </c>
      <c r="C6">
        <v>10012</v>
      </c>
      <c r="D6">
        <v>1213</v>
      </c>
      <c r="E6" t="s">
        <v>7</v>
      </c>
      <c r="F6" t="s">
        <v>7</v>
      </c>
      <c r="G6" t="s">
        <v>3</v>
      </c>
      <c r="H6">
        <v>1.25</v>
      </c>
      <c r="I6" s="2">
        <v>0.93</v>
      </c>
      <c r="J6">
        <v>1.1625000000000001</v>
      </c>
    </row>
    <row r="7" spans="1:12" x14ac:dyDescent="0.2">
      <c r="A7">
        <v>556</v>
      </c>
      <c r="B7" t="s">
        <v>0</v>
      </c>
      <c r="C7">
        <v>10012</v>
      </c>
      <c r="D7">
        <v>1214</v>
      </c>
      <c r="E7" t="s">
        <v>8</v>
      </c>
      <c r="F7" t="s">
        <v>8</v>
      </c>
      <c r="G7" t="s">
        <v>3</v>
      </c>
      <c r="H7">
        <v>0.7</v>
      </c>
      <c r="I7" s="2">
        <v>0.9</v>
      </c>
      <c r="J7">
        <v>0.63</v>
      </c>
    </row>
    <row r="8" spans="1:12" x14ac:dyDescent="0.2">
      <c r="A8">
        <v>557</v>
      </c>
      <c r="B8" t="s">
        <v>0</v>
      </c>
      <c r="C8">
        <v>10012</v>
      </c>
      <c r="D8">
        <v>1215</v>
      </c>
      <c r="E8" t="s">
        <v>9</v>
      </c>
      <c r="F8" t="s">
        <v>9</v>
      </c>
      <c r="G8" t="s">
        <v>3</v>
      </c>
      <c r="H8">
        <v>0.27</v>
      </c>
      <c r="I8" s="2">
        <v>0.92</v>
      </c>
      <c r="J8">
        <v>0.24840000000000004</v>
      </c>
    </row>
    <row r="9" spans="1:12" x14ac:dyDescent="0.2">
      <c r="A9">
        <v>558</v>
      </c>
      <c r="B9" t="s">
        <v>0</v>
      </c>
      <c r="C9">
        <v>10012</v>
      </c>
      <c r="D9">
        <v>1216</v>
      </c>
      <c r="E9" t="s">
        <v>10</v>
      </c>
      <c r="F9" t="s">
        <v>10</v>
      </c>
      <c r="G9" t="s">
        <v>3</v>
      </c>
      <c r="H9">
        <v>0.09</v>
      </c>
      <c r="I9" s="2">
        <v>0.9</v>
      </c>
      <c r="J9">
        <v>8.1000000000000003E-2</v>
      </c>
    </row>
    <row r="10" spans="1:12" x14ac:dyDescent="0.2">
      <c r="A10">
        <v>559</v>
      </c>
      <c r="B10" t="s">
        <v>0</v>
      </c>
      <c r="C10">
        <v>10012</v>
      </c>
      <c r="D10">
        <v>1217</v>
      </c>
      <c r="E10" t="s">
        <v>11</v>
      </c>
      <c r="F10" t="s">
        <v>11</v>
      </c>
      <c r="G10" t="s">
        <v>3</v>
      </c>
      <c r="H10">
        <v>0.83</v>
      </c>
      <c r="I10" s="2">
        <v>0.93</v>
      </c>
      <c r="J10">
        <v>0.77190000000000003</v>
      </c>
    </row>
    <row r="11" spans="1:12" x14ac:dyDescent="0.2">
      <c r="A11">
        <v>560</v>
      </c>
      <c r="B11" t="s">
        <v>0</v>
      </c>
      <c r="C11">
        <v>10012</v>
      </c>
      <c r="D11">
        <v>1218</v>
      </c>
      <c r="E11" t="s">
        <v>12</v>
      </c>
      <c r="F11" t="s">
        <v>12</v>
      </c>
      <c r="G11" t="s">
        <v>3</v>
      </c>
      <c r="H11">
        <v>0.35</v>
      </c>
      <c r="I11" s="2">
        <v>0.93</v>
      </c>
      <c r="J11">
        <v>0.32550000000000001</v>
      </c>
    </row>
    <row r="12" spans="1:12" x14ac:dyDescent="0.2">
      <c r="A12">
        <v>561</v>
      </c>
      <c r="B12" t="s">
        <v>0</v>
      </c>
      <c r="C12">
        <v>10012</v>
      </c>
      <c r="D12">
        <v>1211</v>
      </c>
      <c r="E12" t="s">
        <v>13</v>
      </c>
      <c r="F12" t="s">
        <v>13</v>
      </c>
      <c r="G12" t="s">
        <v>3</v>
      </c>
      <c r="H12">
        <v>0.65</v>
      </c>
      <c r="I12" s="2">
        <v>0.93</v>
      </c>
      <c r="J12">
        <v>0.60450000000000004</v>
      </c>
    </row>
    <row r="13" spans="1:12" x14ac:dyDescent="0.2">
      <c r="A13">
        <v>562</v>
      </c>
      <c r="B13" t="s">
        <v>0</v>
      </c>
      <c r="C13">
        <v>10012</v>
      </c>
      <c r="D13">
        <v>1210</v>
      </c>
      <c r="E13" t="s">
        <v>14</v>
      </c>
      <c r="F13" t="s">
        <v>14</v>
      </c>
      <c r="G13" t="s">
        <v>3</v>
      </c>
      <c r="H13">
        <v>0.11</v>
      </c>
      <c r="I13" s="3">
        <v>0.88</v>
      </c>
      <c r="J13">
        <v>9.6799999999999997E-2</v>
      </c>
    </row>
    <row r="14" spans="1:12" x14ac:dyDescent="0.2">
      <c r="A14">
        <v>563</v>
      </c>
      <c r="B14" t="s">
        <v>0</v>
      </c>
      <c r="C14">
        <v>10012</v>
      </c>
      <c r="D14">
        <v>1219</v>
      </c>
      <c r="E14" t="s">
        <v>15</v>
      </c>
      <c r="F14" t="s">
        <v>15</v>
      </c>
      <c r="G14" t="s">
        <v>3</v>
      </c>
      <c r="H14">
        <v>1.05</v>
      </c>
      <c r="I14" s="2">
        <v>0.93</v>
      </c>
      <c r="J14">
        <v>0.97650000000000015</v>
      </c>
    </row>
    <row r="15" spans="1:12" ht="356" x14ac:dyDescent="0.2">
      <c r="A15">
        <v>564</v>
      </c>
      <c r="B15" t="s">
        <v>0</v>
      </c>
      <c r="C15">
        <v>10012</v>
      </c>
      <c r="D15">
        <v>1234</v>
      </c>
      <c r="E15" t="s">
        <v>16</v>
      </c>
      <c r="F15" t="s">
        <v>16</v>
      </c>
      <c r="G15" t="s">
        <v>17</v>
      </c>
      <c r="H15" s="1">
        <v>1</v>
      </c>
      <c r="I15" s="4">
        <v>0.65</v>
      </c>
      <c r="J15">
        <v>0.65</v>
      </c>
      <c r="K15" s="5" t="s">
        <v>93</v>
      </c>
    </row>
    <row r="16" spans="1:12" x14ac:dyDescent="0.2">
      <c r="A16">
        <v>565</v>
      </c>
      <c r="B16" t="s">
        <v>0</v>
      </c>
      <c r="C16">
        <v>10012</v>
      </c>
      <c r="D16">
        <v>1004</v>
      </c>
      <c r="E16" t="s">
        <v>18</v>
      </c>
      <c r="F16" t="s">
        <v>19</v>
      </c>
      <c r="G16" t="s">
        <v>3</v>
      </c>
      <c r="H16">
        <v>13</v>
      </c>
      <c r="I16" s="2">
        <v>0.95</v>
      </c>
      <c r="J16">
        <v>12.35</v>
      </c>
    </row>
    <row r="17" spans="1:12" x14ac:dyDescent="0.2">
      <c r="A17">
        <v>566</v>
      </c>
      <c r="B17" t="s">
        <v>0</v>
      </c>
      <c r="C17">
        <v>10012</v>
      </c>
      <c r="D17">
        <v>1269</v>
      </c>
      <c r="E17" t="s">
        <v>20</v>
      </c>
      <c r="F17" t="s">
        <v>21</v>
      </c>
      <c r="G17" t="s">
        <v>3</v>
      </c>
      <c r="H17">
        <v>0.6</v>
      </c>
      <c r="I17" s="2">
        <v>0.9</v>
      </c>
      <c r="J17">
        <v>0.54</v>
      </c>
    </row>
    <row r="18" spans="1:12" x14ac:dyDescent="0.2">
      <c r="A18">
        <v>567</v>
      </c>
      <c r="B18" t="s">
        <v>0</v>
      </c>
      <c r="C18">
        <v>10012</v>
      </c>
      <c r="D18">
        <v>1271</v>
      </c>
      <c r="E18" t="s">
        <v>22</v>
      </c>
      <c r="F18" t="s">
        <v>23</v>
      </c>
      <c r="G18" t="s">
        <v>3</v>
      </c>
      <c r="H18">
        <v>0.04</v>
      </c>
      <c r="I18" s="3">
        <v>0.88</v>
      </c>
      <c r="J18">
        <v>3.5200000000000002E-2</v>
      </c>
    </row>
    <row r="19" spans="1:12" x14ac:dyDescent="0.2">
      <c r="A19">
        <v>568</v>
      </c>
      <c r="B19" t="s">
        <v>0</v>
      </c>
      <c r="C19">
        <v>10012</v>
      </c>
      <c r="D19">
        <v>1270</v>
      </c>
      <c r="E19" t="s">
        <v>24</v>
      </c>
      <c r="F19" t="s">
        <v>25</v>
      </c>
      <c r="G19" t="s">
        <v>3</v>
      </c>
      <c r="H19">
        <v>0.03</v>
      </c>
      <c r="I19" s="3">
        <v>0.88</v>
      </c>
      <c r="J19">
        <v>2.64E-2</v>
      </c>
    </row>
    <row r="20" spans="1:12" x14ac:dyDescent="0.2">
      <c r="A20">
        <v>569</v>
      </c>
      <c r="B20" t="s">
        <v>0</v>
      </c>
      <c r="C20">
        <v>10012</v>
      </c>
      <c r="D20">
        <v>1278</v>
      </c>
      <c r="E20" t="s">
        <v>26</v>
      </c>
      <c r="F20" t="s">
        <v>27</v>
      </c>
      <c r="G20" t="s">
        <v>3</v>
      </c>
      <c r="H20">
        <v>5.0000000000000001E-3</v>
      </c>
      <c r="I20" s="3">
        <v>0.85</v>
      </c>
      <c r="J20">
        <v>4.2500000000000003E-3</v>
      </c>
    </row>
    <row r="21" spans="1:12" x14ac:dyDescent="0.2">
      <c r="A21">
        <v>570</v>
      </c>
      <c r="B21" t="s">
        <v>0</v>
      </c>
      <c r="C21">
        <v>10012</v>
      </c>
      <c r="D21">
        <v>1272</v>
      </c>
      <c r="E21" t="s">
        <v>28</v>
      </c>
      <c r="F21" t="s">
        <v>29</v>
      </c>
      <c r="G21" t="s">
        <v>3</v>
      </c>
      <c r="H21">
        <v>1.4999999999999999E-2</v>
      </c>
      <c r="I21" s="3">
        <v>0.85</v>
      </c>
      <c r="J21">
        <v>1.2749999999999999E-2</v>
      </c>
    </row>
    <row r="22" spans="1:12" x14ac:dyDescent="0.2">
      <c r="A22">
        <v>571</v>
      </c>
      <c r="B22" t="s">
        <v>0</v>
      </c>
      <c r="C22">
        <v>10012</v>
      </c>
      <c r="D22">
        <v>1087</v>
      </c>
      <c r="E22" t="s">
        <v>30</v>
      </c>
      <c r="F22" t="s">
        <v>31</v>
      </c>
      <c r="G22" t="s">
        <v>17</v>
      </c>
      <c r="H22">
        <v>7000</v>
      </c>
      <c r="I22" s="2">
        <v>1</v>
      </c>
      <c r="J22">
        <v>7000</v>
      </c>
    </row>
    <row r="23" spans="1:12" ht="388" x14ac:dyDescent="0.2">
      <c r="A23">
        <v>572</v>
      </c>
      <c r="B23" t="s">
        <v>0</v>
      </c>
      <c r="C23">
        <v>10012</v>
      </c>
      <c r="D23">
        <v>1091</v>
      </c>
      <c r="E23" t="s">
        <v>32</v>
      </c>
      <c r="F23" t="s">
        <v>33</v>
      </c>
      <c r="G23" t="s">
        <v>17</v>
      </c>
      <c r="H23" s="1">
        <v>3250</v>
      </c>
      <c r="I23" s="2">
        <v>1</v>
      </c>
      <c r="J23">
        <v>3250</v>
      </c>
      <c r="K23" s="5" t="s">
        <v>95</v>
      </c>
      <c r="L23" t="s">
        <v>94</v>
      </c>
    </row>
    <row r="24" spans="1:12" x14ac:dyDescent="0.2">
      <c r="A24">
        <v>573</v>
      </c>
      <c r="B24" t="s">
        <v>0</v>
      </c>
      <c r="C24">
        <v>10012</v>
      </c>
      <c r="D24">
        <v>1092</v>
      </c>
      <c r="E24" t="s">
        <v>34</v>
      </c>
      <c r="F24" t="s">
        <v>35</v>
      </c>
      <c r="G24" t="s">
        <v>17</v>
      </c>
      <c r="H24">
        <v>200</v>
      </c>
      <c r="I24" s="2">
        <v>0.95</v>
      </c>
      <c r="J24">
        <v>190</v>
      </c>
    </row>
    <row r="25" spans="1:12" x14ac:dyDescent="0.2">
      <c r="A25">
        <v>574</v>
      </c>
      <c r="B25" t="s">
        <v>0</v>
      </c>
      <c r="C25">
        <v>10012</v>
      </c>
      <c r="D25">
        <v>1093</v>
      </c>
      <c r="E25" t="s">
        <v>36</v>
      </c>
      <c r="F25" t="s">
        <v>37</v>
      </c>
      <c r="G25" t="s">
        <v>17</v>
      </c>
      <c r="H25">
        <v>80</v>
      </c>
      <c r="I25" s="2">
        <v>0.95</v>
      </c>
      <c r="J25">
        <v>76</v>
      </c>
    </row>
    <row r="26" spans="1:12" x14ac:dyDescent="0.2">
      <c r="A26">
        <v>575</v>
      </c>
      <c r="B26" t="s">
        <v>0</v>
      </c>
      <c r="C26">
        <v>10012</v>
      </c>
      <c r="D26">
        <v>1088</v>
      </c>
      <c r="E26" t="s">
        <v>38</v>
      </c>
      <c r="F26" t="s">
        <v>38</v>
      </c>
      <c r="G26" t="s">
        <v>17</v>
      </c>
      <c r="H26">
        <v>80</v>
      </c>
      <c r="I26" s="2">
        <v>0.95</v>
      </c>
      <c r="J26">
        <v>76</v>
      </c>
    </row>
    <row r="27" spans="1:12" x14ac:dyDescent="0.2">
      <c r="A27">
        <v>576</v>
      </c>
      <c r="B27" t="s">
        <v>0</v>
      </c>
      <c r="C27">
        <v>10012</v>
      </c>
      <c r="D27">
        <v>1090</v>
      </c>
      <c r="E27" t="s">
        <v>39</v>
      </c>
      <c r="F27" t="s">
        <v>40</v>
      </c>
      <c r="G27" t="s">
        <v>17</v>
      </c>
      <c r="H27">
        <v>40</v>
      </c>
      <c r="I27" s="2">
        <v>0.95</v>
      </c>
      <c r="J27">
        <v>38</v>
      </c>
    </row>
    <row r="28" spans="1:12" ht="306" x14ac:dyDescent="0.2">
      <c r="A28">
        <v>577</v>
      </c>
      <c r="B28" t="s">
        <v>0</v>
      </c>
      <c r="C28">
        <v>10012</v>
      </c>
      <c r="D28">
        <v>1089</v>
      </c>
      <c r="E28" t="s">
        <v>41</v>
      </c>
      <c r="F28" t="s">
        <v>42</v>
      </c>
      <c r="G28" t="s">
        <v>17</v>
      </c>
      <c r="H28" s="1">
        <v>6</v>
      </c>
      <c r="I28" s="2">
        <v>1</v>
      </c>
      <c r="J28">
        <v>6</v>
      </c>
      <c r="K28" s="5" t="s">
        <v>96</v>
      </c>
      <c r="L28" t="s">
        <v>97</v>
      </c>
    </row>
    <row r="29" spans="1:12" x14ac:dyDescent="0.2">
      <c r="A29">
        <v>578</v>
      </c>
      <c r="B29" t="s">
        <v>0</v>
      </c>
      <c r="C29">
        <v>10012</v>
      </c>
      <c r="D29">
        <v>1098</v>
      </c>
      <c r="E29" t="s">
        <v>43</v>
      </c>
      <c r="F29" t="s">
        <v>44</v>
      </c>
      <c r="G29" t="s">
        <v>17</v>
      </c>
      <c r="H29">
        <v>0.4</v>
      </c>
      <c r="I29" s="2">
        <v>1</v>
      </c>
      <c r="J29">
        <v>0.4</v>
      </c>
    </row>
    <row r="30" spans="1:12" x14ac:dyDescent="0.2">
      <c r="A30">
        <v>579</v>
      </c>
      <c r="B30" t="s">
        <v>0</v>
      </c>
      <c r="C30">
        <v>10012</v>
      </c>
      <c r="D30">
        <v>1101</v>
      </c>
      <c r="E30" t="s">
        <v>45</v>
      </c>
      <c r="F30" t="s">
        <v>46</v>
      </c>
      <c r="G30" t="s">
        <v>17</v>
      </c>
      <c r="H30">
        <v>0.3</v>
      </c>
      <c r="I30" s="2">
        <v>1</v>
      </c>
      <c r="J30">
        <v>0.3</v>
      </c>
    </row>
    <row r="31" spans="1:12" x14ac:dyDescent="0.2">
      <c r="A31">
        <v>580</v>
      </c>
      <c r="B31" t="s">
        <v>0</v>
      </c>
      <c r="C31">
        <v>10012</v>
      </c>
      <c r="D31">
        <v>1095</v>
      </c>
      <c r="E31" t="s">
        <v>47</v>
      </c>
      <c r="F31" t="s">
        <v>48</v>
      </c>
      <c r="G31" t="s">
        <v>17</v>
      </c>
      <c r="H31">
        <v>2.8</v>
      </c>
      <c r="I31" s="2">
        <v>1</v>
      </c>
      <c r="J31">
        <v>2.8</v>
      </c>
    </row>
    <row r="32" spans="1:12" x14ac:dyDescent="0.2">
      <c r="A32">
        <v>581</v>
      </c>
      <c r="B32" t="s">
        <v>0</v>
      </c>
      <c r="C32">
        <v>10012</v>
      </c>
      <c r="D32">
        <v>1100</v>
      </c>
      <c r="E32" t="s">
        <v>49</v>
      </c>
      <c r="F32" t="s">
        <v>49</v>
      </c>
      <c r="G32" t="s">
        <v>50</v>
      </c>
      <c r="H32" s="1">
        <v>1.5</v>
      </c>
      <c r="I32" s="2">
        <v>0.9</v>
      </c>
      <c r="J32">
        <v>1.35</v>
      </c>
    </row>
    <row r="33" spans="1:10" x14ac:dyDescent="0.2">
      <c r="A33">
        <v>582</v>
      </c>
      <c r="B33" t="s">
        <v>0</v>
      </c>
      <c r="C33">
        <v>10012</v>
      </c>
      <c r="D33">
        <v>1103</v>
      </c>
      <c r="E33" t="s">
        <v>51</v>
      </c>
      <c r="F33" t="s">
        <v>52</v>
      </c>
      <c r="G33" t="s">
        <v>50</v>
      </c>
      <c r="H33">
        <v>12</v>
      </c>
      <c r="I33" s="2">
        <v>0.95</v>
      </c>
      <c r="J33">
        <v>11.399999999999999</v>
      </c>
    </row>
    <row r="34" spans="1:10" x14ac:dyDescent="0.2">
      <c r="A34">
        <v>583</v>
      </c>
      <c r="B34" t="s">
        <v>0</v>
      </c>
      <c r="C34">
        <v>10012</v>
      </c>
      <c r="D34">
        <v>1106</v>
      </c>
      <c r="E34" t="s">
        <v>53</v>
      </c>
      <c r="F34" t="s">
        <v>54</v>
      </c>
      <c r="G34" t="s">
        <v>55</v>
      </c>
      <c r="H34">
        <v>30</v>
      </c>
      <c r="I34" s="2">
        <v>0.9</v>
      </c>
      <c r="J34">
        <v>27</v>
      </c>
    </row>
    <row r="35" spans="1:10" x14ac:dyDescent="0.2">
      <c r="A35">
        <v>584</v>
      </c>
      <c r="B35" t="s">
        <v>0</v>
      </c>
      <c r="C35">
        <v>10012</v>
      </c>
      <c r="D35">
        <v>1110</v>
      </c>
      <c r="E35" t="s">
        <v>56</v>
      </c>
      <c r="F35" t="s">
        <v>57</v>
      </c>
      <c r="G35" t="s">
        <v>55</v>
      </c>
      <c r="H35">
        <v>1</v>
      </c>
      <c r="I35" s="2">
        <v>0.95</v>
      </c>
      <c r="J35">
        <v>0.95</v>
      </c>
    </row>
    <row r="36" spans="1:10" x14ac:dyDescent="0.2">
      <c r="A36">
        <v>585</v>
      </c>
      <c r="B36" t="s">
        <v>0</v>
      </c>
      <c r="C36">
        <v>10012</v>
      </c>
      <c r="D36">
        <v>1109</v>
      </c>
      <c r="E36" t="s">
        <v>58</v>
      </c>
      <c r="F36" t="s">
        <v>59</v>
      </c>
      <c r="G36" t="s">
        <v>55</v>
      </c>
      <c r="H36">
        <v>0.25</v>
      </c>
      <c r="I36" s="2">
        <v>0.9</v>
      </c>
      <c r="J36">
        <v>0.22500000000000001</v>
      </c>
    </row>
    <row r="37" spans="1:10" x14ac:dyDescent="0.2">
      <c r="A37">
        <v>586</v>
      </c>
      <c r="B37" t="s">
        <v>0</v>
      </c>
      <c r="C37">
        <v>10012</v>
      </c>
      <c r="D37">
        <v>1185</v>
      </c>
      <c r="E37" t="s">
        <v>60</v>
      </c>
      <c r="F37" t="s">
        <v>61</v>
      </c>
      <c r="G37" t="s">
        <v>50</v>
      </c>
      <c r="H37" s="1">
        <v>2</v>
      </c>
      <c r="I37" s="2">
        <v>0.95</v>
      </c>
      <c r="J37">
        <v>1.9</v>
      </c>
    </row>
    <row r="38" spans="1:10" x14ac:dyDescent="0.2">
      <c r="A38">
        <v>587</v>
      </c>
      <c r="B38" t="s">
        <v>0</v>
      </c>
      <c r="C38">
        <v>10012</v>
      </c>
      <c r="D38">
        <v>1165</v>
      </c>
      <c r="E38" t="s">
        <v>62</v>
      </c>
      <c r="F38" t="s">
        <v>62</v>
      </c>
      <c r="G38" t="s">
        <v>17</v>
      </c>
      <c r="H38">
        <v>0.02</v>
      </c>
      <c r="I38" s="4">
        <v>0.55000000000000004</v>
      </c>
      <c r="J38">
        <v>1.1000000000000001E-2</v>
      </c>
    </row>
    <row r="39" spans="1:10" x14ac:dyDescent="0.2">
      <c r="A39">
        <v>588</v>
      </c>
      <c r="B39" t="s">
        <v>0</v>
      </c>
      <c r="C39">
        <v>10012</v>
      </c>
      <c r="D39">
        <v>1166</v>
      </c>
      <c r="E39" t="s">
        <v>63</v>
      </c>
      <c r="F39" t="s">
        <v>63</v>
      </c>
      <c r="G39" t="s">
        <v>17</v>
      </c>
      <c r="H39">
        <v>0.1</v>
      </c>
      <c r="I39" s="2">
        <v>0.97</v>
      </c>
      <c r="J39">
        <v>9.7000000000000003E-2</v>
      </c>
    </row>
    <row r="40" spans="1:10" x14ac:dyDescent="0.2">
      <c r="A40">
        <v>589</v>
      </c>
      <c r="B40" t="s">
        <v>0</v>
      </c>
      <c r="C40">
        <v>10012</v>
      </c>
      <c r="D40">
        <v>1167</v>
      </c>
      <c r="E40" t="s">
        <v>64</v>
      </c>
      <c r="F40" t="s">
        <v>64</v>
      </c>
      <c r="G40" t="s">
        <v>17</v>
      </c>
      <c r="H40">
        <v>3</v>
      </c>
      <c r="I40" s="3">
        <v>0.85</v>
      </c>
      <c r="J40">
        <v>2.5499999999999998</v>
      </c>
    </row>
    <row r="41" spans="1:10" x14ac:dyDescent="0.2">
      <c r="A41">
        <v>590</v>
      </c>
      <c r="B41" t="s">
        <v>0</v>
      </c>
      <c r="C41">
        <v>10012</v>
      </c>
      <c r="D41">
        <v>1170</v>
      </c>
      <c r="E41" t="s">
        <v>65</v>
      </c>
      <c r="F41" t="s">
        <v>65</v>
      </c>
      <c r="G41" t="s">
        <v>17</v>
      </c>
      <c r="H41">
        <v>0.75</v>
      </c>
      <c r="I41" s="3">
        <v>0.85</v>
      </c>
      <c r="J41">
        <v>0.63749999999999996</v>
      </c>
    </row>
    <row r="42" spans="1:10" x14ac:dyDescent="0.2">
      <c r="A42">
        <v>591</v>
      </c>
      <c r="B42" t="s">
        <v>0</v>
      </c>
      <c r="C42">
        <v>10012</v>
      </c>
      <c r="D42">
        <v>1175</v>
      </c>
      <c r="E42" t="s">
        <v>66</v>
      </c>
      <c r="F42" t="s">
        <v>67</v>
      </c>
      <c r="G42" t="s">
        <v>17</v>
      </c>
      <c r="H42">
        <v>0.1</v>
      </c>
      <c r="I42" s="3">
        <v>0.8</v>
      </c>
      <c r="J42">
        <v>8.0000000000000016E-2</v>
      </c>
    </row>
    <row r="43" spans="1:10" x14ac:dyDescent="0.2">
      <c r="A43">
        <v>592</v>
      </c>
      <c r="B43" t="s">
        <v>0</v>
      </c>
      <c r="C43">
        <v>10012</v>
      </c>
      <c r="D43">
        <v>1177</v>
      </c>
      <c r="E43" t="s">
        <v>68</v>
      </c>
      <c r="F43" t="s">
        <v>69</v>
      </c>
      <c r="G43" t="s">
        <v>50</v>
      </c>
      <c r="H43">
        <v>12</v>
      </c>
      <c r="I43" s="3">
        <v>0.75</v>
      </c>
      <c r="J43">
        <v>9</v>
      </c>
    </row>
    <row r="44" spans="1:10" x14ac:dyDescent="0.2">
      <c r="A44">
        <v>593</v>
      </c>
      <c r="B44" t="s">
        <v>0</v>
      </c>
      <c r="C44">
        <v>10012</v>
      </c>
      <c r="D44">
        <v>1178</v>
      </c>
      <c r="E44" t="s">
        <v>70</v>
      </c>
      <c r="F44" t="s">
        <v>71</v>
      </c>
      <c r="G44" t="s">
        <v>50</v>
      </c>
      <c r="H44">
        <v>0.4</v>
      </c>
      <c r="I44" s="4">
        <v>0.55000000000000004</v>
      </c>
      <c r="J44">
        <v>0.22000000000000003</v>
      </c>
    </row>
    <row r="45" spans="1:10" x14ac:dyDescent="0.2">
      <c r="A45">
        <v>594</v>
      </c>
      <c r="B45" t="s">
        <v>0</v>
      </c>
      <c r="C45">
        <v>10012</v>
      </c>
      <c r="D45">
        <v>1176</v>
      </c>
      <c r="E45" t="s">
        <v>72</v>
      </c>
      <c r="F45" t="s">
        <v>72</v>
      </c>
      <c r="G45" t="s">
        <v>50</v>
      </c>
      <c r="H45">
        <v>2.5</v>
      </c>
      <c r="I45" s="2">
        <v>0.91</v>
      </c>
      <c r="J45">
        <v>2.2749999999999999</v>
      </c>
    </row>
    <row r="46" spans="1:10" x14ac:dyDescent="0.2">
      <c r="A46">
        <v>595</v>
      </c>
      <c r="B46" t="s">
        <v>0</v>
      </c>
      <c r="C46">
        <v>10012</v>
      </c>
      <c r="D46">
        <v>1180</v>
      </c>
      <c r="E46" t="s">
        <v>73</v>
      </c>
      <c r="F46" t="s">
        <v>74</v>
      </c>
      <c r="G46" t="s">
        <v>17</v>
      </c>
      <c r="H46">
        <v>35</v>
      </c>
      <c r="I46" s="3">
        <v>0.75</v>
      </c>
      <c r="J46">
        <v>26.25</v>
      </c>
    </row>
    <row r="47" spans="1:10" x14ac:dyDescent="0.2">
      <c r="A47">
        <v>596</v>
      </c>
      <c r="B47" t="s">
        <v>0</v>
      </c>
      <c r="C47">
        <v>10012</v>
      </c>
      <c r="D47">
        <v>1008</v>
      </c>
      <c r="E47" t="s">
        <v>75</v>
      </c>
      <c r="F47" t="s">
        <v>75</v>
      </c>
      <c r="G47" t="s">
        <v>76</v>
      </c>
      <c r="H47" s="1">
        <v>216.2</v>
      </c>
      <c r="I47" s="2">
        <v>0.94</v>
      </c>
      <c r="J47">
        <v>203.22799999999998</v>
      </c>
    </row>
    <row r="48" spans="1:10" x14ac:dyDescent="0.2">
      <c r="A48">
        <v>597</v>
      </c>
      <c r="B48" t="s">
        <v>0</v>
      </c>
      <c r="C48">
        <v>10012</v>
      </c>
      <c r="D48">
        <v>1051</v>
      </c>
      <c r="E48" t="s">
        <v>77</v>
      </c>
      <c r="F48" t="s">
        <v>77</v>
      </c>
      <c r="G48" t="s">
        <v>3</v>
      </c>
      <c r="H48">
        <v>44</v>
      </c>
      <c r="I48" s="2">
        <v>1.05</v>
      </c>
      <c r="J48">
        <v>46.2</v>
      </c>
    </row>
    <row r="49" spans="1:10" x14ac:dyDescent="0.2">
      <c r="A49">
        <v>598</v>
      </c>
      <c r="B49" t="s">
        <v>0</v>
      </c>
      <c r="C49">
        <v>10012</v>
      </c>
      <c r="D49">
        <v>1007</v>
      </c>
      <c r="E49" t="s">
        <v>78</v>
      </c>
      <c r="F49" t="s">
        <v>78</v>
      </c>
      <c r="G49" t="s">
        <v>3</v>
      </c>
      <c r="H49">
        <v>12.8</v>
      </c>
      <c r="I49" s="2">
        <v>1</v>
      </c>
      <c r="J49">
        <v>12.8</v>
      </c>
    </row>
    <row r="50" spans="1:10" x14ac:dyDescent="0.2">
      <c r="A50">
        <v>599</v>
      </c>
      <c r="B50" t="s">
        <v>0</v>
      </c>
      <c r="C50">
        <v>10012</v>
      </c>
      <c r="D50">
        <v>1079</v>
      </c>
      <c r="E50" t="s">
        <v>79</v>
      </c>
      <c r="F50" t="s">
        <v>80</v>
      </c>
      <c r="G50" t="s">
        <v>3</v>
      </c>
      <c r="H50">
        <v>0</v>
      </c>
      <c r="I50" s="2">
        <v>1</v>
      </c>
      <c r="J50">
        <v>0</v>
      </c>
    </row>
    <row r="51" spans="1:10" x14ac:dyDescent="0.2">
      <c r="A51">
        <v>600</v>
      </c>
      <c r="B51" t="s">
        <v>0</v>
      </c>
      <c r="C51">
        <v>10012</v>
      </c>
      <c r="D51">
        <v>1005</v>
      </c>
      <c r="E51" t="s">
        <v>81</v>
      </c>
      <c r="F51" t="s">
        <v>82</v>
      </c>
      <c r="G51" t="s">
        <v>3</v>
      </c>
      <c r="H51" s="1">
        <v>17.7</v>
      </c>
      <c r="I51" s="2">
        <v>0.9</v>
      </c>
      <c r="J51">
        <v>15.93</v>
      </c>
    </row>
    <row r="52" spans="1:10" x14ac:dyDescent="0.2">
      <c r="D52">
        <v>1293</v>
      </c>
      <c r="F52" t="s">
        <v>100</v>
      </c>
      <c r="G52" t="s">
        <v>3</v>
      </c>
      <c r="H52">
        <v>2</v>
      </c>
      <c r="I52" s="6">
        <v>0.8</v>
      </c>
      <c r="J52">
        <f>I52*H52</f>
        <v>1.6</v>
      </c>
    </row>
    <row r="53" spans="1:10" x14ac:dyDescent="0.2">
      <c r="D53">
        <v>1280</v>
      </c>
      <c r="F53" t="s">
        <v>101</v>
      </c>
      <c r="G53" t="s">
        <v>3</v>
      </c>
      <c r="H53">
        <v>6.2E-2</v>
      </c>
      <c r="I53" s="6">
        <v>0.8</v>
      </c>
      <c r="J53">
        <f>I53*H53</f>
        <v>4.9600000000000005E-2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Shahab Derhami</dc:creator>
  <cp:lastModifiedBy>Shahab Derhami</cp:lastModifiedBy>
  <dcterms:created xsi:type="dcterms:W3CDTF">2026-02-26T16:57:32Z</dcterms:created>
  <dcterms:modified xsi:type="dcterms:W3CDTF">2026-03-12T22:00:27Z</dcterms:modified>
</cp:coreProperties>
</file>