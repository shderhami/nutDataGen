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 Factors" sheetId="1" state="visible" r:id="rId1"/>
    <sheet xmlns:r="http://schemas.openxmlformats.org/officeDocument/2006/relationships" name="Summary &amp; Methodology" sheetId="2" state="visible" r:id="rId2"/>
    <sheet xmlns:r="http://schemas.openxmlformats.org/officeDocument/2006/relationships" name="Cooked Values (100g Raw Basi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&quot;%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 wrapText="1"/>
    </xf>
    <xf numFmtId="2" fontId="6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 wrapText="1"/>
    </xf>
    <xf numFmtId="2" fontId="6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2" fontId="6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28" customWidth="1" min="4" max="4"/>
    <col width="6" customWidth="1" min="5" max="5"/>
    <col width="12" customWidth="1" min="6" max="6"/>
    <col width="13" customWidth="1" min="7" max="7"/>
    <col width="13" customWidth="1" min="8" max="8"/>
    <col width="10" customWidth="1" min="9" max="9"/>
    <col width="12" customWidth="1" min="10" max="10"/>
    <col width="80" customWidth="1" min="11" max="11"/>
  </cols>
  <sheetData>
    <row r="1" ht="28" customHeight="1">
      <c r="A1" s="1" t="inlineStr">
        <is>
          <t>Chicken Bones Raw — Pressure Cooking Nutrient Retention Factors</t>
        </is>
      </c>
    </row>
    <row r="2" ht="30" customHeight="1">
      <c r="A2" s="2" t="inlineStr">
        <is>
          <t>Appliance: Ninja Foodi Pressure Cooker  |  Setting: HIGH pressure (11.6 psi gauge / 80 kPa) → ~120–121 °C  |  Duration: 120 min at full pressure  |  Assumption: Cooking liquid (bone broth) RETAINED and consumed</t>
        </is>
      </c>
    </row>
    <row r="3" ht="36" customHeight="1">
      <c r="A3" s="3" t="inlineStr">
        <is>
          <t>ID</t>
        </is>
      </c>
      <c r="B3" s="3" t="inlineStr">
        <is>
          <t>Nutrient ID</t>
        </is>
      </c>
      <c r="C3" s="3" t="inlineStr">
        <is>
          <t>FEDIAF Nutrient Name</t>
        </is>
      </c>
      <c r="D3" s="3" t="inlineStr">
        <is>
          <t>USDA Nutrient Name</t>
        </is>
      </c>
      <c r="E3" s="3" t="inlineStr">
        <is>
          <t>Unit</t>
        </is>
      </c>
      <c r="F3" s="3" t="inlineStr">
        <is>
          <t>Raw Value</t>
        </is>
      </c>
      <c r="G3" s="3" t="inlineStr">
        <is>
          <t>Retention
Factor (RF)</t>
        </is>
      </c>
      <c r="H3" s="3" t="inlineStr">
        <is>
          <t>Cooked Value
(Raw × RF)</t>
        </is>
      </c>
      <c r="I3" s="3" t="inlineStr">
        <is>
          <t>% Retained</t>
        </is>
      </c>
      <c r="J3" s="3" t="inlineStr">
        <is>
          <t>Retention
Tier</t>
        </is>
      </c>
      <c r="K3" s="3" t="inlineStr">
        <is>
          <t>Source &amp; Notes</t>
        </is>
      </c>
    </row>
    <row r="4" ht="18" customHeight="1">
      <c r="A4" s="4" t="inlineStr">
        <is>
          <t>AMINO ACIDS &amp; PROTEIN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52" customHeight="1">
      <c r="A5" s="6" t="n">
        <v>551</v>
      </c>
      <c r="B5" s="6" t="n">
        <v>1003</v>
      </c>
      <c r="C5" s="7" t="inlineStr">
        <is>
          <t>Crude Protein</t>
        </is>
      </c>
      <c r="D5" s="7" t="inlineStr">
        <is>
          <t>Protein</t>
        </is>
      </c>
      <c r="E5" s="6" t="inlineStr">
        <is>
          <t>g</t>
        </is>
      </c>
      <c r="F5" s="8" t="n">
        <v>12.5</v>
      </c>
      <c r="G5" s="9" t="n">
        <v>0.95</v>
      </c>
      <c r="H5" s="8">
        <f>F5*G5</f>
        <v/>
      </c>
      <c r="I5" s="10">
        <f>G5*100</f>
        <v/>
      </c>
      <c r="J5" s="11" t="inlineStr">
        <is>
          <t>✅ High (≥90%)</t>
        </is>
      </c>
      <c r="K5" s="7" t="inlineStr">
        <is>
          <t>USDA Rel.6 code 0851 (chicken simmered); pressure adj. +5% vs. plain simmer (IJCRT2107672)
Collagen proteins are highly stable to moist heat. Some peptide hydrolysis occurs but total crude protein (N×6.25) remains. 95% is conservative.</t>
        </is>
      </c>
    </row>
    <row r="6" ht="52" customHeight="1">
      <c r="A6" s="12" t="n">
        <v>552</v>
      </c>
      <c r="B6" s="12" t="n">
        <v>1220</v>
      </c>
      <c r="C6" s="13" t="inlineStr">
        <is>
          <t>Arginine</t>
        </is>
      </c>
      <c r="D6" s="13" t="inlineStr">
        <is>
          <t>Arginine</t>
        </is>
      </c>
      <c r="E6" s="12" t="inlineStr">
        <is>
          <t>g</t>
        </is>
      </c>
      <c r="F6" s="14" t="n">
        <v>1.36</v>
      </c>
      <c r="G6" s="9" t="n">
        <v>0.93</v>
      </c>
      <c r="H6" s="14">
        <f>F6*G6</f>
        <v/>
      </c>
      <c r="I6" s="10">
        <f>G6*100</f>
        <v/>
      </c>
      <c r="J6" s="11" t="inlineStr">
        <is>
          <t>✅ High (≥90%)</t>
        </is>
      </c>
      <c r="K6" s="13" t="inlineStr">
        <is>
          <t>Gomaa et al. 2013; Michel &amp; Autio 2001 cited in IJCRT2107672
Essential AA; stable to moist heat up to 120°C. Minor Maillard losses with reducing sugars (minimal in bone).</t>
        </is>
      </c>
    </row>
    <row r="7" ht="52" customHeight="1">
      <c r="A7" s="6" t="n">
        <v>553</v>
      </c>
      <c r="B7" s="6" t="n">
        <v>1221</v>
      </c>
      <c r="C7" s="7" t="inlineStr">
        <is>
          <t>Histidine</t>
        </is>
      </c>
      <c r="D7" s="7" t="inlineStr">
        <is>
          <t>Histidine</t>
        </is>
      </c>
      <c r="E7" s="6" t="inlineStr">
        <is>
          <t>g</t>
        </is>
      </c>
      <c r="F7" s="8" t="n">
        <v>0.65</v>
      </c>
      <c r="G7" s="9" t="n">
        <v>0.93</v>
      </c>
      <c r="H7" s="8">
        <f>F7*G7</f>
        <v/>
      </c>
      <c r="I7" s="10">
        <f>G7*100</f>
        <v/>
      </c>
      <c r="J7" s="11" t="inlineStr">
        <is>
          <t>✅ High (≥90%)</t>
        </is>
      </c>
      <c r="K7" s="7" t="inlineStr">
        <is>
          <t>Gomaa et al. 2013; Michel &amp; Autio 2001
Stable under pressure cooking conditions.</t>
        </is>
      </c>
    </row>
    <row r="8" ht="52" customHeight="1">
      <c r="A8" s="12" t="n">
        <v>554</v>
      </c>
      <c r="B8" s="12" t="n">
        <v>1212</v>
      </c>
      <c r="C8" s="13" t="inlineStr">
        <is>
          <t>Isoleucine</t>
        </is>
      </c>
      <c r="D8" s="13" t="inlineStr">
        <is>
          <t>Isoleucine</t>
        </is>
      </c>
      <c r="E8" s="12" t="inlineStr">
        <is>
          <t>g</t>
        </is>
      </c>
      <c r="F8" s="14" t="n">
        <v>0.85</v>
      </c>
      <c r="G8" s="9" t="n">
        <v>0.93</v>
      </c>
      <c r="H8" s="14">
        <f>F8*G8</f>
        <v/>
      </c>
      <c r="I8" s="10">
        <f>G8*100</f>
        <v/>
      </c>
      <c r="J8" s="11" t="inlineStr">
        <is>
          <t>✅ High (≥90%)</t>
        </is>
      </c>
      <c r="K8" s="13" t="inlineStr">
        <is>
          <t>Gomaa et al. 2013; Michel &amp; Autio 2001
Branched-chain AA; thermally stable.</t>
        </is>
      </c>
    </row>
    <row r="9" ht="52" customHeight="1">
      <c r="A9" s="6" t="n">
        <v>555</v>
      </c>
      <c r="B9" s="6" t="n">
        <v>1213</v>
      </c>
      <c r="C9" s="7" t="inlineStr">
        <is>
          <t>Leucine</t>
        </is>
      </c>
      <c r="D9" s="7" t="inlineStr">
        <is>
          <t>Leucine</t>
        </is>
      </c>
      <c r="E9" s="6" t="inlineStr">
        <is>
          <t>g</t>
        </is>
      </c>
      <c r="F9" s="8" t="n">
        <v>1.25</v>
      </c>
      <c r="G9" s="9" t="n">
        <v>0.93</v>
      </c>
      <c r="H9" s="8">
        <f>F9*G9</f>
        <v/>
      </c>
      <c r="I9" s="10">
        <f>G9*100</f>
        <v/>
      </c>
      <c r="J9" s="11" t="inlineStr">
        <is>
          <t>✅ High (≥90%)</t>
        </is>
      </c>
      <c r="K9" s="7" t="inlineStr">
        <is>
          <t>Gomaa et al. 2013; Michel &amp; Autio 2001
Branched-chain AA; thermally stable.</t>
        </is>
      </c>
    </row>
    <row r="10" ht="52" customHeight="1">
      <c r="A10" s="12" t="n">
        <v>556</v>
      </c>
      <c r="B10" s="12" t="n">
        <v>1214</v>
      </c>
      <c r="C10" s="13" t="inlineStr">
        <is>
          <t>Lysine</t>
        </is>
      </c>
      <c r="D10" s="13" t="inlineStr">
        <is>
          <t>Lysine</t>
        </is>
      </c>
      <c r="E10" s="12" t="inlineStr">
        <is>
          <t>g</t>
        </is>
      </c>
      <c r="F10" s="14" t="n">
        <v>0.7</v>
      </c>
      <c r="G10" s="9" t="n">
        <v>0.9</v>
      </c>
      <c r="H10" s="14">
        <f>F10*G10</f>
        <v/>
      </c>
      <c r="I10" s="10">
        <f>G10*100</f>
        <v/>
      </c>
      <c r="J10" s="11" t="inlineStr">
        <is>
          <t>✅ High (≥90%)</t>
        </is>
      </c>
      <c r="K10" s="13" t="inlineStr">
        <is>
          <t>Ball GFM 2006; Maillard susceptibility documented
Lysine ε-amino group reactive in Maillard reaction. Slightly higher loss (~10%) vs. other AA in prolonged moist heat.</t>
        </is>
      </c>
    </row>
    <row r="11" ht="52" customHeight="1">
      <c r="A11" s="6" t="n">
        <v>557</v>
      </c>
      <c r="B11" s="6" t="n">
        <v>1215</v>
      </c>
      <c r="C11" s="7" t="inlineStr">
        <is>
          <t>Methionine</t>
        </is>
      </c>
      <c r="D11" s="7" t="inlineStr">
        <is>
          <t>Methionine</t>
        </is>
      </c>
      <c r="E11" s="6" t="inlineStr">
        <is>
          <t>g</t>
        </is>
      </c>
      <c r="F11" s="8" t="n">
        <v>0.27</v>
      </c>
      <c r="G11" s="9" t="n">
        <v>0.92</v>
      </c>
      <c r="H11" s="8">
        <f>F11*G11</f>
        <v/>
      </c>
      <c r="I11" s="10">
        <f>G11*100</f>
        <v/>
      </c>
      <c r="J11" s="11" t="inlineStr">
        <is>
          <t>✅ High (≥90%)</t>
        </is>
      </c>
      <c r="K11" s="7" t="inlineStr">
        <is>
          <t>Gomaa et al. 2013
Sulfur AA; minor oxidation to methionine sulfoxide possible but largely retained.</t>
        </is>
      </c>
    </row>
    <row r="12" ht="52" customHeight="1">
      <c r="A12" s="12" t="n">
        <v>558</v>
      </c>
      <c r="B12" s="12" t="n">
        <v>1216</v>
      </c>
      <c r="C12" s="13" t="inlineStr">
        <is>
          <t>Cystine</t>
        </is>
      </c>
      <c r="D12" s="13" t="inlineStr">
        <is>
          <t>Cystine</t>
        </is>
      </c>
      <c r="E12" s="12" t="inlineStr">
        <is>
          <t>g</t>
        </is>
      </c>
      <c r="F12" s="14" t="n">
        <v>0.09</v>
      </c>
      <c r="G12" s="9" t="n">
        <v>0.9</v>
      </c>
      <c r="H12" s="14">
        <f>F12*G12</f>
        <v/>
      </c>
      <c r="I12" s="10">
        <f>G12*100</f>
        <v/>
      </c>
      <c r="J12" s="11" t="inlineStr">
        <is>
          <t>✅ High (≥90%)</t>
        </is>
      </c>
      <c r="K12" s="13" t="inlineStr">
        <is>
          <t>Ball GFM 2006; disulfide bond sensitivity
Sulfur AA; disulfide bonds labile at high heat; ~10% loss estimated.</t>
        </is>
      </c>
    </row>
    <row r="13" ht="52" customHeight="1">
      <c r="A13" s="6" t="n">
        <v>559</v>
      </c>
      <c r="B13" s="6" t="n">
        <v>1217</v>
      </c>
      <c r="C13" s="7" t="inlineStr">
        <is>
          <t>Phenylalanine</t>
        </is>
      </c>
      <c r="D13" s="7" t="inlineStr">
        <is>
          <t>Phenylalanine</t>
        </is>
      </c>
      <c r="E13" s="6" t="inlineStr">
        <is>
          <t>g</t>
        </is>
      </c>
      <c r="F13" s="8" t="n">
        <v>0.83</v>
      </c>
      <c r="G13" s="9" t="n">
        <v>0.93</v>
      </c>
      <c r="H13" s="8">
        <f>F13*G13</f>
        <v/>
      </c>
      <c r="I13" s="10">
        <f>G13*100</f>
        <v/>
      </c>
      <c r="J13" s="11" t="inlineStr">
        <is>
          <t>✅ High (≥90%)</t>
        </is>
      </c>
      <c r="K13" s="7" t="inlineStr">
        <is>
          <t>Gomaa et al. 2013; Michel &amp; Autio 2001
Aromatic AA; thermally stable.</t>
        </is>
      </c>
    </row>
    <row r="14" ht="52" customHeight="1">
      <c r="A14" s="12" t="n">
        <v>560</v>
      </c>
      <c r="B14" s="12" t="n">
        <v>1218</v>
      </c>
      <c r="C14" s="13" t="inlineStr">
        <is>
          <t>Tyrosine</t>
        </is>
      </c>
      <c r="D14" s="13" t="inlineStr">
        <is>
          <t>Tyrosine</t>
        </is>
      </c>
      <c r="E14" s="12" t="inlineStr">
        <is>
          <t>g</t>
        </is>
      </c>
      <c r="F14" s="14" t="n">
        <v>0.35</v>
      </c>
      <c r="G14" s="9" t="n">
        <v>0.93</v>
      </c>
      <c r="H14" s="14">
        <f>F14*G14</f>
        <v/>
      </c>
      <c r="I14" s="10">
        <f>G14*100</f>
        <v/>
      </c>
      <c r="J14" s="11" t="inlineStr">
        <is>
          <t>✅ High (≥90%)</t>
        </is>
      </c>
      <c r="K14" s="13" t="inlineStr">
        <is>
          <t>Gomaa et al. 2013
Phenolic AA; thermally stable under moist conditions.</t>
        </is>
      </c>
    </row>
    <row r="15" ht="52" customHeight="1">
      <c r="A15" s="6" t="n">
        <v>561</v>
      </c>
      <c r="B15" s="6" t="n">
        <v>1211</v>
      </c>
      <c r="C15" s="7" t="inlineStr">
        <is>
          <t>Threonine</t>
        </is>
      </c>
      <c r="D15" s="7" t="inlineStr">
        <is>
          <t>Threonine</t>
        </is>
      </c>
      <c r="E15" s="6" t="inlineStr">
        <is>
          <t>g</t>
        </is>
      </c>
      <c r="F15" s="8" t="n">
        <v>0.65</v>
      </c>
      <c r="G15" s="9" t="n">
        <v>0.93</v>
      </c>
      <c r="H15" s="8">
        <f>F15*G15</f>
        <v/>
      </c>
      <c r="I15" s="10">
        <f>G15*100</f>
        <v/>
      </c>
      <c r="J15" s="11" t="inlineStr">
        <is>
          <t>✅ High (≥90%)</t>
        </is>
      </c>
      <c r="K15" s="7" t="inlineStr">
        <is>
          <t>Gomaa et al. 2013; Michel &amp; Autio 2001
Stable under pressure cooking.</t>
        </is>
      </c>
    </row>
    <row r="16" ht="52" customHeight="1">
      <c r="A16" s="12" t="n">
        <v>562</v>
      </c>
      <c r="B16" s="12" t="n">
        <v>1210</v>
      </c>
      <c r="C16" s="13" t="inlineStr">
        <is>
          <t>Tryptophan</t>
        </is>
      </c>
      <c r="D16" s="13" t="inlineStr">
        <is>
          <t>Tryptophan</t>
        </is>
      </c>
      <c r="E16" s="12" t="inlineStr">
        <is>
          <t>g</t>
        </is>
      </c>
      <c r="F16" s="14" t="n">
        <v>0.11</v>
      </c>
      <c r="G16" s="15" t="n">
        <v>0.88</v>
      </c>
      <c r="H16" s="14">
        <f>F16*G16</f>
        <v/>
      </c>
      <c r="I16" s="16">
        <f>G16*100</f>
        <v/>
      </c>
      <c r="J16" s="17" t="inlineStr">
        <is>
          <t>⚠️ Moderate (75–89%)</t>
        </is>
      </c>
      <c r="K16" s="13" t="inlineStr">
        <is>
          <t>Ball GFM 2006; indole ring heat-lability
Most heat-labile essential AA due to indole ring oxidation. ~12% loss at 120°C prolonged.</t>
        </is>
      </c>
    </row>
    <row r="17" ht="52" customHeight="1">
      <c r="A17" s="6" t="n">
        <v>563</v>
      </c>
      <c r="B17" s="6" t="n">
        <v>1219</v>
      </c>
      <c r="C17" s="7" t="inlineStr">
        <is>
          <t>Valine</t>
        </is>
      </c>
      <c r="D17" s="7" t="inlineStr">
        <is>
          <t>Valine</t>
        </is>
      </c>
      <c r="E17" s="6" t="inlineStr">
        <is>
          <t>g</t>
        </is>
      </c>
      <c r="F17" s="8" t="n">
        <v>1.05</v>
      </c>
      <c r="G17" s="9" t="n">
        <v>0.93</v>
      </c>
      <c r="H17" s="8">
        <f>F17*G17</f>
        <v/>
      </c>
      <c r="I17" s="10">
        <f>G17*100</f>
        <v/>
      </c>
      <c r="J17" s="11" t="inlineStr">
        <is>
          <t>✅ High (≥90%)</t>
        </is>
      </c>
      <c r="K17" s="7" t="inlineStr">
        <is>
          <t>Gomaa et al. 2013; Michel &amp; Autio 2001
Branched-chain AA; thermally stable.</t>
        </is>
      </c>
    </row>
    <row r="18" ht="18" customHeight="1">
      <c r="A18" s="4" t="inlineStr">
        <is>
          <t>FATS &amp; FATTY ACIDS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52" customHeight="1">
      <c r="A19" s="6" t="n">
        <v>564</v>
      </c>
      <c r="B19" s="6" t="n">
        <v>1234</v>
      </c>
      <c r="C19" s="7" t="inlineStr">
        <is>
          <t>Taurine</t>
        </is>
      </c>
      <c r="D19" s="7" t="inlineStr">
        <is>
          <t>Taurine</t>
        </is>
      </c>
      <c r="E19" s="6" t="inlineStr">
        <is>
          <t>mg</t>
        </is>
      </c>
      <c r="F19" s="8" t="n">
        <v>1</v>
      </c>
      <c r="G19" s="18" t="n">
        <v>0.65</v>
      </c>
      <c r="H19" s="8">
        <f>F19*G19</f>
        <v/>
      </c>
      <c r="I19" s="19">
        <f>G19*100</f>
        <v/>
      </c>
      <c r="J19" s="20" t="inlineStr">
        <is>
          <t>🔴 Low (&lt;75%)</t>
        </is>
      </c>
      <c r="K19" s="7" t="inlineStr">
        <is>
          <t>FEDIAF 2025 p.21 (Hickman MA et al. 1990, 1992); retort-equivalent conditions
FEDIAF explicitly notes taurine bioavailability reduced in heat-treated canned/wet food. RF=0.65 consistent with retort-equivalent thermal load (120°C/2h). Mixed thermal + leaching mechanism. Confirmed by kinetics framework v2.</t>
        </is>
      </c>
    </row>
    <row r="20" ht="52" customHeight="1">
      <c r="A20" s="12" t="n">
        <v>565</v>
      </c>
      <c r="B20" s="12" t="n">
        <v>1004</v>
      </c>
      <c r="C20" s="13" t="inlineStr">
        <is>
          <t>Total Fat</t>
        </is>
      </c>
      <c r="D20" s="13" t="inlineStr">
        <is>
          <t>Total lipid (fat)</t>
        </is>
      </c>
      <c r="E20" s="12" t="inlineStr">
        <is>
          <t>g</t>
        </is>
      </c>
      <c r="F20" s="14" t="n">
        <v>13</v>
      </c>
      <c r="G20" s="9" t="n">
        <v>0.95</v>
      </c>
      <c r="H20" s="14">
        <f>F20*G20</f>
        <v/>
      </c>
      <c r="I20" s="10">
        <f>G20*100</f>
        <v/>
      </c>
      <c r="J20" s="11" t="inlineStr">
        <is>
          <t>✅ High (≥90%)</t>
        </is>
      </c>
      <c r="K20" s="13" t="inlineStr">
        <is>
          <t>USDA Rel.6 code 0851; sealed pressure environment minimises oxidation
Fat concentrated in marrow. Sealed cooker prevents evaporation. Minor hydrolysis. 95% retention.</t>
        </is>
      </c>
    </row>
    <row r="21" ht="52" customHeight="1">
      <c r="A21" s="6" t="n">
        <v>566</v>
      </c>
      <c r="B21" s="6" t="n">
        <v>1269</v>
      </c>
      <c r="C21" s="7" t="inlineStr">
        <is>
          <t>Linoleic acid</t>
        </is>
      </c>
      <c r="D21" s="7" t="inlineStr">
        <is>
          <t>PUFA 18:2</t>
        </is>
      </c>
      <c r="E21" s="6" t="inlineStr">
        <is>
          <t>g</t>
        </is>
      </c>
      <c r="F21" s="8" t="n">
        <v>0.6</v>
      </c>
      <c r="G21" s="9" t="n">
        <v>0.9</v>
      </c>
      <c r="H21" s="8">
        <f>F21*G21</f>
        <v/>
      </c>
      <c r="I21" s="10">
        <f>G21*100</f>
        <v/>
      </c>
      <c r="J21" s="11" t="inlineStr">
        <is>
          <t>✅ High (≥90%)</t>
        </is>
      </c>
      <c r="K21" s="7" t="inlineStr">
        <is>
          <t>Przybylski R &amp; Mag T (2002) in 'Frying of Food' CRC Press; PUFA oxidation data
n-6 PUFA; some peroxidation at 120°C in 2h. Sealed cooker limits O2 exposure. ~10% loss estimated.</t>
        </is>
      </c>
    </row>
    <row r="22" ht="52" customHeight="1">
      <c r="A22" s="12" t="n">
        <v>567</v>
      </c>
      <c r="B22" s="12" t="n">
        <v>1271</v>
      </c>
      <c r="C22" s="13" t="inlineStr">
        <is>
          <t>Arachidonic acid</t>
        </is>
      </c>
      <c r="D22" s="13" t="inlineStr">
        <is>
          <t>PUFA 20:4</t>
        </is>
      </c>
      <c r="E22" s="12" t="inlineStr">
        <is>
          <t>g</t>
        </is>
      </c>
      <c r="F22" s="14" t="n">
        <v>0.04</v>
      </c>
      <c r="G22" s="15" t="n">
        <v>0.88</v>
      </c>
      <c r="H22" s="14">
        <f>F22*G22</f>
        <v/>
      </c>
      <c r="I22" s="16">
        <f>G22*100</f>
        <v/>
      </c>
      <c r="J22" s="17" t="inlineStr">
        <is>
          <t>⚠️ Moderate (75–89%)</t>
        </is>
      </c>
      <c r="K22" s="13" t="inlineStr">
        <is>
          <t>Przybylski R &amp; Mag T 2002; longer-chain PUFA more susceptible
Long-chain n-6 PUFA; higher susceptibility to oxidation than LA. ~12% loss.</t>
        </is>
      </c>
    </row>
    <row r="23" ht="52" customHeight="1">
      <c r="A23" s="6" t="n">
        <v>568</v>
      </c>
      <c r="B23" s="6" t="n">
        <v>1270</v>
      </c>
      <c r="C23" s="7" t="inlineStr">
        <is>
          <t>Alpha-linolenic acid</t>
        </is>
      </c>
      <c r="D23" s="7" t="inlineStr">
        <is>
          <t>PUFA 18:3</t>
        </is>
      </c>
      <c r="E23" s="6" t="inlineStr">
        <is>
          <t>g</t>
        </is>
      </c>
      <c r="F23" s="8" t="n">
        <v>0.03</v>
      </c>
      <c r="G23" s="15" t="n">
        <v>0.88</v>
      </c>
      <c r="H23" s="8">
        <f>F23*G23</f>
        <v/>
      </c>
      <c r="I23" s="16">
        <f>G23*100</f>
        <v/>
      </c>
      <c r="J23" s="17" t="inlineStr">
        <is>
          <t>⚠️ Moderate (75–89%)</t>
        </is>
      </c>
      <c r="K23" s="7" t="inlineStr">
        <is>
          <t>Przybylski R &amp; Mag T 2002
n-3 PUFA; similar susceptibility to ARA. ~12% loss estimated.</t>
        </is>
      </c>
    </row>
    <row r="24" ht="18" customHeight="1">
      <c r="A24" s="4" t="inlineStr">
        <is>
          <t>MINERALS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52" customHeight="1">
      <c r="A25" s="6" t="n">
        <v>569</v>
      </c>
      <c r="B25" s="6" t="n">
        <v>1278</v>
      </c>
      <c r="C25" s="7" t="inlineStr">
        <is>
          <t>EPA</t>
        </is>
      </c>
      <c r="D25" s="7" t="inlineStr">
        <is>
          <t>PUFA 20:5 n-3 (EPA)</t>
        </is>
      </c>
      <c r="E25" s="6" t="inlineStr">
        <is>
          <t>g</t>
        </is>
      </c>
      <c r="F25" s="8" t="n">
        <v>0.005</v>
      </c>
      <c r="G25" s="15" t="n">
        <v>0.85</v>
      </c>
      <c r="H25" s="8">
        <f>F25*G25</f>
        <v/>
      </c>
      <c r="I25" s="16">
        <f>G25*100</f>
        <v/>
      </c>
      <c r="J25" s="17" t="inlineStr">
        <is>
          <t>⚠️ Moderate (75–89%)</t>
        </is>
      </c>
      <c r="K25" s="7" t="inlineStr">
        <is>
          <t>Przybylski R &amp; Mag T 2002; long-chain n-3 high susceptibility
Very long-chain n-3 PUFA; highest oxidation susceptibility. ~15% loss estimated at 120°C/2h.</t>
        </is>
      </c>
    </row>
    <row r="26" ht="52" customHeight="1">
      <c r="A26" s="12" t="n">
        <v>570</v>
      </c>
      <c r="B26" s="12" t="n">
        <v>1272</v>
      </c>
      <c r="C26" s="13" t="inlineStr">
        <is>
          <t>DHA</t>
        </is>
      </c>
      <c r="D26" s="13" t="inlineStr">
        <is>
          <t>PUFA 22:6 n-3 (DHA)</t>
        </is>
      </c>
      <c r="E26" s="12" t="inlineStr">
        <is>
          <t>g</t>
        </is>
      </c>
      <c r="F26" s="14" t="n">
        <v>0.015</v>
      </c>
      <c r="G26" s="15" t="n">
        <v>0.85</v>
      </c>
      <c r="H26" s="14">
        <f>F26*G26</f>
        <v/>
      </c>
      <c r="I26" s="16">
        <f>G26*100</f>
        <v/>
      </c>
      <c r="J26" s="17" t="inlineStr">
        <is>
          <t>⚠️ Moderate (75–89%)</t>
        </is>
      </c>
      <c r="K26" s="13" t="inlineStr">
        <is>
          <t>Przybylski R &amp; Mag T 2002
Very long-chain n-3 PUFA; ~15% loss same basis as EPA.</t>
        </is>
      </c>
    </row>
    <row r="27" ht="52" customHeight="1">
      <c r="A27" s="6" t="n">
        <v>571</v>
      </c>
      <c r="B27" s="6" t="n">
        <v>1087</v>
      </c>
      <c r="C27" s="7" t="inlineStr">
        <is>
          <t>Calcium</t>
        </is>
      </c>
      <c r="D27" s="7" t="inlineStr">
        <is>
          <t>Calcium, Ca</t>
        </is>
      </c>
      <c r="E27" s="6" t="inlineStr">
        <is>
          <t>mg</t>
        </is>
      </c>
      <c r="F27" s="8" t="n">
        <v>7000</v>
      </c>
      <c r="G27" s="9" t="n">
        <v>1</v>
      </c>
      <c r="H27" s="8">
        <f>F27*G27</f>
        <v/>
      </c>
      <c r="I27" s="10">
        <f>G27*100</f>
        <v/>
      </c>
      <c r="J27" s="11" t="inlineStr">
        <is>
          <t>✅ High (≥90%)</t>
        </is>
      </c>
      <c r="K27" s="7" t="inlineStr">
        <is>
          <t>USDA Rel.6 codes 0851/0852; bone hydroxyapatite Ca insoluble (ScienceDirect 2021 pii/S0956713521005466)
Ca is locked in hydroxyapatite crystal lattice of cortical bone. Negligible dissolution in 2h pressure cooking. 100% retention when liquid retained.</t>
        </is>
      </c>
    </row>
    <row r="28" ht="52" customHeight="1">
      <c r="A28" s="12" t="n">
        <v>572</v>
      </c>
      <c r="B28" s="12" t="n">
        <v>1091</v>
      </c>
      <c r="C28" s="13" t="inlineStr">
        <is>
          <t>Phosphorus</t>
        </is>
      </c>
      <c r="D28" s="13" t="inlineStr">
        <is>
          <t>Phosphorus, P</t>
        </is>
      </c>
      <c r="E28" s="12" t="inlineStr">
        <is>
          <t>mg</t>
        </is>
      </c>
      <c r="F28" s="14" t="n">
        <v>3250</v>
      </c>
      <c r="G28" s="9" t="n">
        <v>1</v>
      </c>
      <c r="H28" s="14">
        <f>F28*G28</f>
        <v/>
      </c>
      <c r="I28" s="10">
        <f>G28*100</f>
        <v/>
      </c>
      <c r="J28" s="11" t="inlineStr">
        <is>
          <t>✅ High (≥90%)</t>
        </is>
      </c>
      <c r="K28" s="13" t="inlineStr">
        <is>
          <t>USDA Rel.6 codes 0851/0852; P in hydroxyapatite co-localized with Ca
Bone P in hydroxyapatite is insoluble. 100% retention.</t>
        </is>
      </c>
    </row>
    <row r="29" ht="52" customHeight="1">
      <c r="A29" s="6" t="n">
        <v>573</v>
      </c>
      <c r="B29" s="6" t="n">
        <v>1092</v>
      </c>
      <c r="C29" s="7" t="inlineStr">
        <is>
          <t>Potassium</t>
        </is>
      </c>
      <c r="D29" s="7" t="inlineStr">
        <is>
          <t>Potassium, K</t>
        </is>
      </c>
      <c r="E29" s="6" t="inlineStr">
        <is>
          <t>mg</t>
        </is>
      </c>
      <c r="F29" s="8" t="n">
        <v>200</v>
      </c>
      <c r="G29" s="9" t="n">
        <v>0.95</v>
      </c>
      <c r="H29" s="8">
        <f>F29*G29</f>
        <v/>
      </c>
      <c r="I29" s="10">
        <f>G29*100</f>
        <v/>
      </c>
      <c r="J29" s="11" t="inlineStr">
        <is>
          <t>✅ High (≥90%)</t>
        </is>
      </c>
      <c r="K29" s="7" t="inlineStr">
        <is>
          <t>USDA Rel.6 code 0851 (K=60% w/o drippings, 100% w/drippings); liquid-retained assumption → ~95%
K is a mobile ion; will leach into broth. If liquid retained ~95% effectively recovered.</t>
        </is>
      </c>
    </row>
    <row r="30" ht="52" customHeight="1">
      <c r="A30" s="12" t="n">
        <v>574</v>
      </c>
      <c r="B30" s="12" t="n">
        <v>1093</v>
      </c>
      <c r="C30" s="13" t="inlineStr">
        <is>
          <t>Sodium</t>
        </is>
      </c>
      <c r="D30" s="13" t="inlineStr">
        <is>
          <t>Sodium, Na</t>
        </is>
      </c>
      <c r="E30" s="12" t="inlineStr">
        <is>
          <t>mg</t>
        </is>
      </c>
      <c r="F30" s="14" t="n">
        <v>80</v>
      </c>
      <c r="G30" s="9" t="n">
        <v>0.95</v>
      </c>
      <c r="H30" s="14">
        <f>F30*G30</f>
        <v/>
      </c>
      <c r="I30" s="10">
        <f>G30*100</f>
        <v/>
      </c>
      <c r="J30" s="11" t="inlineStr">
        <is>
          <t>✅ High (≥90%)</t>
        </is>
      </c>
      <c r="K30" s="13" t="inlineStr">
        <is>
          <t>USDA Rel.6 code 0851; leaches into broth, recovered if liquid consumed
Na leaches into cooking liquid. Liquid retained → ~95% recovery.</t>
        </is>
      </c>
    </row>
    <row r="31" ht="52" customHeight="1">
      <c r="A31" s="6" t="n">
        <v>575</v>
      </c>
      <c r="B31" s="6" t="n">
        <v>1088</v>
      </c>
      <c r="C31" s="7" t="inlineStr">
        <is>
          <t>Chloride</t>
        </is>
      </c>
      <c r="D31" s="7" t="inlineStr">
        <is>
          <t>Chloride</t>
        </is>
      </c>
      <c r="E31" s="6" t="inlineStr">
        <is>
          <t>mg</t>
        </is>
      </c>
      <c r="F31" s="8" t="n">
        <v>80</v>
      </c>
      <c r="G31" s="9" t="n">
        <v>0.95</v>
      </c>
      <c r="H31" s="8">
        <f>F31*G31</f>
        <v/>
      </c>
      <c r="I31" s="10">
        <f>G31*100</f>
        <v/>
      </c>
      <c r="J31" s="11" t="inlineStr">
        <is>
          <t>✅ High (≥90%)</t>
        </is>
      </c>
      <c r="K31" s="7" t="inlineStr">
        <is>
          <t>Analogous to Na behaviour; USDA Rel.6 imputed
Cl is freely mobile ion; leaches into broth. Recovered if liquid consumed.</t>
        </is>
      </c>
    </row>
    <row r="32" ht="52" customHeight="1">
      <c r="A32" s="12" t="n">
        <v>576</v>
      </c>
      <c r="B32" s="12" t="n">
        <v>1090</v>
      </c>
      <c r="C32" s="13" t="inlineStr">
        <is>
          <t>Magnesium</t>
        </is>
      </c>
      <c r="D32" s="13" t="inlineStr">
        <is>
          <t>Magnesium, Mg</t>
        </is>
      </c>
      <c r="E32" s="12" t="inlineStr">
        <is>
          <t>mg</t>
        </is>
      </c>
      <c r="F32" s="14" t="n">
        <v>40</v>
      </c>
      <c r="G32" s="9" t="n">
        <v>0.95</v>
      </c>
      <c r="H32" s="14">
        <f>F32*G32</f>
        <v/>
      </c>
      <c r="I32" s="10">
        <f>G32*100</f>
        <v/>
      </c>
      <c r="J32" s="11" t="inlineStr">
        <is>
          <t>✅ High (≥90%)</t>
        </is>
      </c>
      <c r="K32" s="13" t="inlineStr">
        <is>
          <t>USDA Rel.6 code 0851 (Mg=65% w/o drippings, 100% w/drippings); liquid retained → 95%
Mg partly in hydroxyapatite, partly in soft tissue. Moderate leaching; recovered in broth.</t>
        </is>
      </c>
    </row>
    <row r="33" ht="52" customHeight="1">
      <c r="A33" s="6" t="n">
        <v>577</v>
      </c>
      <c r="B33" s="6" t="n">
        <v>1089</v>
      </c>
      <c r="C33" s="7" t="inlineStr">
        <is>
          <t>Iron</t>
        </is>
      </c>
      <c r="D33" s="7" t="inlineStr">
        <is>
          <t>Iron, Fe</t>
        </is>
      </c>
      <c r="E33" s="6" t="inlineStr">
        <is>
          <t>mg</t>
        </is>
      </c>
      <c r="F33" s="8" t="n">
        <v>6</v>
      </c>
      <c r="G33" s="9" t="n">
        <v>1</v>
      </c>
      <c r="H33" s="8">
        <f>F33*G33</f>
        <v/>
      </c>
      <c r="I33" s="10">
        <f>G33*100</f>
        <v/>
      </c>
      <c r="J33" s="11" t="inlineStr">
        <is>
          <t>✅ High (≥90%)</t>
        </is>
      </c>
      <c r="K33" s="7" t="inlineStr">
        <is>
          <t>USDA Rel.6 code 0851 (Fe=90% w/o, 100% w/drippings); liquid retained
Fe in bone heme/non-heme forms. Some oxidation but total elemental Fe conserved. 100% with liquid.</t>
        </is>
      </c>
    </row>
    <row r="34" ht="52" customHeight="1">
      <c r="A34" s="12" t="n">
        <v>578</v>
      </c>
      <c r="B34" s="12" t="n">
        <v>1098</v>
      </c>
      <c r="C34" s="13" t="inlineStr">
        <is>
          <t>Copper</t>
        </is>
      </c>
      <c r="D34" s="13" t="inlineStr">
        <is>
          <t>Copper, Cu</t>
        </is>
      </c>
      <c r="E34" s="12" t="inlineStr">
        <is>
          <t>mg</t>
        </is>
      </c>
      <c r="F34" s="14" t="n">
        <v>0.4</v>
      </c>
      <c r="G34" s="9" t="n">
        <v>1</v>
      </c>
      <c r="H34" s="14">
        <f>F34*G34</f>
        <v/>
      </c>
      <c r="I34" s="10">
        <f>G34*100</f>
        <v/>
      </c>
      <c r="J34" s="11" t="inlineStr">
        <is>
          <t>✅ High (≥90%)</t>
        </is>
      </c>
      <c r="K34" s="13" t="inlineStr">
        <is>
          <t>USDA Rel.6 code 0851 (Cu=90-100%); liquid retained
Trace mineral; stable at cooking temperatures. 100% with liquid retained.</t>
        </is>
      </c>
    </row>
    <row r="35" ht="52" customHeight="1">
      <c r="A35" s="6" t="n">
        <v>579</v>
      </c>
      <c r="B35" s="6" t="n">
        <v>1101</v>
      </c>
      <c r="C35" s="7" t="inlineStr">
        <is>
          <t>Manganese</t>
        </is>
      </c>
      <c r="D35" s="7" t="inlineStr">
        <is>
          <t>Manganese, Mn</t>
        </is>
      </c>
      <c r="E35" s="6" t="inlineStr">
        <is>
          <t>mg</t>
        </is>
      </c>
      <c r="F35" s="8" t="n">
        <v>0.3</v>
      </c>
      <c r="G35" s="9" t="n">
        <v>1</v>
      </c>
      <c r="H35" s="8">
        <f>F35*G35</f>
        <v/>
      </c>
      <c r="I35" s="10">
        <f>G35*100</f>
        <v/>
      </c>
      <c r="J35" s="11" t="inlineStr">
        <is>
          <t>✅ High (≥90%)</t>
        </is>
      </c>
      <c r="K35" s="7" t="inlineStr">
        <is>
          <t>USDA Rel.6 imputed; Mn thermally stable mineral
Trace mineral; inorganic Mn stable to heat. 100% with liquid.</t>
        </is>
      </c>
    </row>
    <row r="36" ht="52" customHeight="1">
      <c r="A36" s="12" t="n">
        <v>580</v>
      </c>
      <c r="B36" s="12" t="n">
        <v>1095</v>
      </c>
      <c r="C36" s="13" t="inlineStr">
        <is>
          <t>Zinc</t>
        </is>
      </c>
      <c r="D36" s="13" t="inlineStr">
        <is>
          <t>Zinc, Zn</t>
        </is>
      </c>
      <c r="E36" s="12" t="inlineStr">
        <is>
          <t>mg</t>
        </is>
      </c>
      <c r="F36" s="14" t="n">
        <v>2.8</v>
      </c>
      <c r="G36" s="9" t="n">
        <v>1</v>
      </c>
      <c r="H36" s="14">
        <f>F36*G36</f>
        <v/>
      </c>
      <c r="I36" s="10">
        <f>G36*100</f>
        <v/>
      </c>
      <c r="J36" s="11" t="inlineStr">
        <is>
          <t>✅ High (≥90%)</t>
        </is>
      </c>
      <c r="K36" s="13" t="inlineStr">
        <is>
          <t>USDA Rel.6 code 0851 (Zn=100%)
Zn thermally stable; retained in broth liquid. 100%.</t>
        </is>
      </c>
    </row>
    <row r="37" ht="18" customHeight="1">
      <c r="A37" s="4" t="inlineStr">
        <is>
          <t>FAT-SOLUBLE VITAMINS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52" customHeight="1">
      <c r="A38" s="12" t="n">
        <v>581</v>
      </c>
      <c r="B38" s="12" t="n">
        <v>1100</v>
      </c>
      <c r="C38" s="13" t="inlineStr">
        <is>
          <t>Iodine</t>
        </is>
      </c>
      <c r="D38" s="13" t="inlineStr">
        <is>
          <t>Iodine</t>
        </is>
      </c>
      <c r="E38" s="12" t="inlineStr">
        <is>
          <t>µg</t>
        </is>
      </c>
      <c r="F38" s="14" t="n">
        <v>1.5</v>
      </c>
      <c r="G38" s="9" t="n">
        <v>0.9</v>
      </c>
      <c r="H38" s="14">
        <f>F38*G38</f>
        <v/>
      </c>
      <c r="I38" s="10">
        <f>G38*100</f>
        <v/>
      </c>
      <c r="J38" s="11" t="inlineStr">
        <is>
          <t>✅ High (≥90%)</t>
        </is>
      </c>
      <c r="K38" s="13" t="inlineStr">
        <is>
          <t>Ball GFM 2006; I volatile at high temps, some loss from organic compounds
Iodine can volatilise from iodoproteins at &gt;100°C. ~10% loss estimated for 2h at 120°C.</t>
        </is>
      </c>
    </row>
    <row r="39" ht="52" customHeight="1">
      <c r="A39" s="6" t="n">
        <v>582</v>
      </c>
      <c r="B39" s="6" t="n">
        <v>1103</v>
      </c>
      <c r="C39" s="7" t="inlineStr">
        <is>
          <t>Selenium</t>
        </is>
      </c>
      <c r="D39" s="7" t="inlineStr">
        <is>
          <t>Selenium, Se</t>
        </is>
      </c>
      <c r="E39" s="6" t="inlineStr">
        <is>
          <t>µg</t>
        </is>
      </c>
      <c r="F39" s="8" t="n">
        <v>12</v>
      </c>
      <c r="G39" s="9" t="n">
        <v>0.95</v>
      </c>
      <c r="H39" s="8">
        <f>F39*G39</f>
        <v/>
      </c>
      <c r="I39" s="10">
        <f>G39*100</f>
        <v/>
      </c>
      <c r="J39" s="11" t="inlineStr">
        <is>
          <t>✅ High (≥90%)</t>
        </is>
      </c>
      <c r="K39" s="7" t="inlineStr">
        <is>
          <t>PMC11397233 (USDA Prime beef 2024): Se consistently higher or equal in cooked vs raw
Se in organic form (selenocysteine, selenomethionine) is heat-stable. Some studies show concentration effect. 95% conservative.</t>
        </is>
      </c>
    </row>
    <row r="40" ht="52" customHeight="1">
      <c r="A40" s="12" t="n">
        <v>583</v>
      </c>
      <c r="B40" s="12" t="n">
        <v>1106</v>
      </c>
      <c r="C40" s="13" t="inlineStr">
        <is>
          <t>Vitamin A</t>
        </is>
      </c>
      <c r="D40" s="13" t="inlineStr">
        <is>
          <t>Vitamin A, RAE</t>
        </is>
      </c>
      <c r="E40" s="12" t="inlineStr">
        <is>
          <t>IU</t>
        </is>
      </c>
      <c r="F40" s="14" t="n">
        <v>30</v>
      </c>
      <c r="G40" s="9" t="n">
        <v>0.9</v>
      </c>
      <c r="H40" s="14">
        <f>F40*G40</f>
        <v/>
      </c>
      <c r="I40" s="10">
        <f>G40*100</f>
        <v/>
      </c>
      <c r="J40" s="11" t="inlineStr">
        <is>
          <t>✅ High (≥90%)</t>
        </is>
      </c>
      <c r="K40" s="13" t="inlineStr">
        <is>
          <t>USDA Rel.6 code 0851 (Vit A IU = 75%); pressure cooking better; Ball 2006
Retinol heat-stable in sealed moist environment. 90% retention for 2h pressure cook.</t>
        </is>
      </c>
    </row>
    <row r="41" ht="18" customHeight="1">
      <c r="A41" s="4" t="inlineStr">
        <is>
          <t>WATER-SOLUBLE VITAMINS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52" customHeight="1">
      <c r="A42" s="12" t="n">
        <v>584</v>
      </c>
      <c r="B42" s="12" t="n">
        <v>1110</v>
      </c>
      <c r="C42" s="13" t="inlineStr">
        <is>
          <t>Vitamin D</t>
        </is>
      </c>
      <c r="D42" s="13" t="inlineStr">
        <is>
          <t>Vitamin D (D2+D3)</t>
        </is>
      </c>
      <c r="E42" s="12" t="inlineStr">
        <is>
          <t>IU</t>
        </is>
      </c>
      <c r="F42" s="14" t="n">
        <v>1</v>
      </c>
      <c r="G42" s="9" t="n">
        <v>0.95</v>
      </c>
      <c r="H42" s="14">
        <f>F42*G42</f>
        <v/>
      </c>
      <c r="I42" s="10">
        <f>G42*100</f>
        <v/>
      </c>
      <c r="J42" s="11" t="inlineStr">
        <is>
          <t>✅ High (≥90%)</t>
        </is>
      </c>
      <c r="K42" s="13" t="inlineStr">
        <is>
          <t>Ball GFM 2006; Vitamin D heat-stable fat-soluble
D3 very heat-stable; minimal loss in moist sealed environment. 95% retention.</t>
        </is>
      </c>
    </row>
    <row r="43" ht="52" customHeight="1">
      <c r="A43" s="6" t="n">
        <v>585</v>
      </c>
      <c r="B43" s="6" t="n">
        <v>1109</v>
      </c>
      <c r="C43" s="7" t="inlineStr">
        <is>
          <t>Vitamin E</t>
        </is>
      </c>
      <c r="D43" s="7" t="inlineStr">
        <is>
          <t>Vitamin E (alpha-toc.)</t>
        </is>
      </c>
      <c r="E43" s="6" t="inlineStr">
        <is>
          <t>IU</t>
        </is>
      </c>
      <c r="F43" s="8" t="n">
        <v>0.25</v>
      </c>
      <c r="G43" s="9" t="n">
        <v>0.9</v>
      </c>
      <c r="H43" s="8">
        <f>F43*G43</f>
        <v/>
      </c>
      <c r="I43" s="10">
        <f>G43*100</f>
        <v/>
      </c>
      <c r="J43" s="11" t="inlineStr">
        <is>
          <t>✅ High (≥90%)</t>
        </is>
      </c>
      <c r="K43" s="7" t="inlineStr">
        <is>
          <t>USDA Rel.6 imputed; Gahler et al. 2003
α-tocopherol susceptible to oxidation. Sealed pressure environment limits O2. ~10% loss.</t>
        </is>
      </c>
    </row>
    <row r="44" ht="52" customHeight="1">
      <c r="A44" s="12" t="n">
        <v>586</v>
      </c>
      <c r="B44" s="12" t="n">
        <v>1185</v>
      </c>
      <c r="C44" s="13" t="inlineStr">
        <is>
          <t>Vitamin K</t>
        </is>
      </c>
      <c r="D44" s="13" t="inlineStr">
        <is>
          <t>Vitamin K (MK-4)</t>
        </is>
      </c>
      <c r="E44" s="12" t="inlineStr">
        <is>
          <t>µg</t>
        </is>
      </c>
      <c r="F44" s="14" t="n">
        <v>2</v>
      </c>
      <c r="G44" s="9" t="n">
        <v>0.95</v>
      </c>
      <c r="H44" s="14">
        <f>F44*G44</f>
        <v/>
      </c>
      <c r="I44" s="10">
        <f>G44*100</f>
        <v/>
      </c>
      <c r="J44" s="11" t="inlineStr">
        <is>
          <t>✅ High (≥90%)</t>
        </is>
      </c>
      <c r="K44" s="13" t="inlineStr">
        <is>
          <t>Ball GFM 2006; fat-soluble K vitamins heat-stable
MK-4 (K2) fat-soluble and heat-stable in lipid matrix of bone. 95% retention.</t>
        </is>
      </c>
    </row>
    <row r="45" ht="52" customHeight="1">
      <c r="A45" s="6" t="n">
        <v>587</v>
      </c>
      <c r="B45" s="6" t="n">
        <v>1165</v>
      </c>
      <c r="C45" s="7" t="inlineStr">
        <is>
          <t>Thiamin</t>
        </is>
      </c>
      <c r="D45" s="7" t="inlineStr">
        <is>
          <t>Thiamin</t>
        </is>
      </c>
      <c r="E45" s="6" t="inlineStr">
        <is>
          <t>mg</t>
        </is>
      </c>
      <c r="F45" s="8" t="n">
        <v>0.02</v>
      </c>
      <c r="G45" s="18" t="n">
        <v>0.55</v>
      </c>
      <c r="H45" s="8">
        <f>F45*G45</f>
        <v/>
      </c>
      <c r="I45" s="19">
        <f>G45*100</f>
        <v/>
      </c>
      <c r="J45" s="20" t="inlineStr">
        <is>
          <t>🔴 Low (&lt;75%)</t>
        </is>
      </c>
      <c r="K45" s="7" t="inlineStr">
        <is>
          <t>KINETICS v2: k=0.0050 min⁻¹ in meat matrix at 120°C (Guzman-Tello &amp; Cheftel 1987; Steet &amp; Tong 1994). RF=exp(-0.005×120)=0.549
Most heat-labile B-vitamin. First-order kinetics at retort-equivalent conditions (120°C/2h). ~45% thermal destruction — irreversible, NOT recoverable from broth. Previous RF=0.65 was based on flawed vegetable short-cook studies.</t>
        </is>
      </c>
    </row>
    <row r="46" ht="52" customHeight="1">
      <c r="A46" s="12" t="n">
        <v>588</v>
      </c>
      <c r="B46" s="12" t="n">
        <v>1166</v>
      </c>
      <c r="C46" s="13" t="inlineStr">
        <is>
          <t>Riboflavin</t>
        </is>
      </c>
      <c r="D46" s="13" t="inlineStr">
        <is>
          <t>Riboflavin</t>
        </is>
      </c>
      <c r="E46" s="12" t="inlineStr">
        <is>
          <t>mg</t>
        </is>
      </c>
      <c r="F46" s="14" t="n">
        <v>0.1</v>
      </c>
      <c r="G46" s="9" t="n">
        <v>0.97</v>
      </c>
      <c r="H46" s="14">
        <f>F46*G46</f>
        <v/>
      </c>
      <c r="I46" s="10">
        <f>G46*100</f>
        <v/>
      </c>
      <c r="J46" s="11" t="inlineStr">
        <is>
          <t>✅ High (≥90%)</t>
        </is>
      </c>
      <c r="K46" s="13" t="inlineStr">
        <is>
          <t>KINETICS v2: k=0.0003 min⁻¹ at 120°C. RF=exp(-0.0003×120)=0.964 ≈ 0.97. Confirmed heat-stable.
B2 very heat-stable. Kinetics confirm near-total retention at 120°C/2h. Light-labile but sealed cooker is opaque. Essentially unchanged from previous estimate.</t>
        </is>
      </c>
    </row>
    <row r="47" ht="52" customHeight="1">
      <c r="A47" s="6" t="n">
        <v>589</v>
      </c>
      <c r="B47" s="6" t="n">
        <v>1167</v>
      </c>
      <c r="C47" s="7" t="inlineStr">
        <is>
          <t>Niacin</t>
        </is>
      </c>
      <c r="D47" s="7" t="inlineStr">
        <is>
          <t>Niacin</t>
        </is>
      </c>
      <c r="E47" s="6" t="inlineStr">
        <is>
          <t>mg</t>
        </is>
      </c>
      <c r="F47" s="8" t="n">
        <v>3</v>
      </c>
      <c r="G47" s="15" t="n">
        <v>0.85</v>
      </c>
      <c r="H47" s="8">
        <f>F47*G47</f>
        <v/>
      </c>
      <c r="I47" s="16">
        <f>G47*100</f>
        <v/>
      </c>
      <c r="J47" s="17" t="inlineStr">
        <is>
          <t>⚠️ Moderate (75–89%)</t>
        </is>
      </c>
      <c r="K47" s="7" t="inlineStr">
        <is>
          <t>KINETICS v2: thermal RF=0.942 (k=0.0005 min⁻¹). Previous 0.75 conflated thermal destruction with leaching. Effective RF=0.85 accounting for minor leaching losses with liquid retained.
Niacin is thermally very stable (thermal RF=0.94). Losses are primarily leaching into broth — fully recovered if liquid consumed. With liquid retained, effective RF ~0.85. Previous RF=0.75 was incorrectly treating leaching as permanent loss.</t>
        </is>
      </c>
    </row>
    <row r="48" ht="52" customHeight="1">
      <c r="A48" s="12" t="n">
        <v>590</v>
      </c>
      <c r="B48" s="12" t="n">
        <v>1170</v>
      </c>
      <c r="C48" s="13" t="inlineStr">
        <is>
          <t>Pantothenic acid</t>
        </is>
      </c>
      <c r="D48" s="13" t="inlineStr">
        <is>
          <t>Pantothenic acid</t>
        </is>
      </c>
      <c r="E48" s="12" t="inlineStr">
        <is>
          <t>mg</t>
        </is>
      </c>
      <c r="F48" s="14" t="n">
        <v>0.75</v>
      </c>
      <c r="G48" s="15" t="n">
        <v>0.85</v>
      </c>
      <c r="H48" s="14">
        <f>F48*G48</f>
        <v/>
      </c>
      <c r="I48" s="16">
        <f>G48*100</f>
        <v/>
      </c>
      <c r="J48" s="17" t="inlineStr">
        <is>
          <t>⚠️ Moderate (75–89%)</t>
        </is>
      </c>
      <c r="K48" s="13" t="inlineStr">
        <is>
          <t>KINETICS v2: thermal RF=0.887 (k=0.0010 min⁻¹ at 120°C). Corrected upward from 0.75 — previous value conflated leaching (recoverable) with thermal destruction.
Pantothenic acid moderately heat-stable. Thermal degradation RF=0.89. With liquid retained, effective RF~0.85 accounting for small leaching component. Previous 0.75 was overly conservative.</t>
        </is>
      </c>
    </row>
    <row r="49" ht="52" customHeight="1">
      <c r="A49" s="6" t="n">
        <v>591</v>
      </c>
      <c r="B49" s="6" t="n">
        <v>1175</v>
      </c>
      <c r="C49" s="7" t="inlineStr">
        <is>
          <t>Pyridoxine</t>
        </is>
      </c>
      <c r="D49" s="7" t="inlineStr">
        <is>
          <t>Vitamin B-6</t>
        </is>
      </c>
      <c r="E49" s="6" t="inlineStr">
        <is>
          <t>mg</t>
        </is>
      </c>
      <c r="F49" s="8" t="n">
        <v>0.1</v>
      </c>
      <c r="G49" s="15" t="n">
        <v>0.8</v>
      </c>
      <c r="H49" s="8">
        <f>F49*G49</f>
        <v/>
      </c>
      <c r="I49" s="16">
        <f>G49*100</f>
        <v/>
      </c>
      <c r="J49" s="17" t="inlineStr">
        <is>
          <t>⚠️ Moderate (75–89%)</t>
        </is>
      </c>
      <c r="K49" s="7" t="inlineStr">
        <is>
          <t>KINETICS v2: thermal RF=0.685 (k=0.00315 min⁻¹ at 120°C, PMC11203188 + Arrhenius extrapolation). Loss mainly diffusion/leaching not thermal (PMC11203188 2024). Effective RF~0.80 with liquid retained.
B6 thermal degradation is ~31% at 120°C/2h (kinetics). However PMC11203188 (2024) shows in meat/legume matrices, B6 loss is dominated by diffusion into cooking liquid, not molecular destruction. With liquid retained: effective RF~0.80. Previous 0.65 was pessimistic.</t>
        </is>
      </c>
    </row>
    <row r="50" ht="18" customHeight="1">
      <c r="A50" s="4" t="inlineStr">
        <is>
          <t>PROXIMATE &amp; ENERGY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52" customHeight="1">
      <c r="A51" s="6" t="n">
        <v>592</v>
      </c>
      <c r="B51" s="6" t="n">
        <v>1177</v>
      </c>
      <c r="C51" s="7" t="inlineStr">
        <is>
          <t>Folic acid</t>
        </is>
      </c>
      <c r="D51" s="7" t="inlineStr">
        <is>
          <t>Folate, total</t>
        </is>
      </c>
      <c r="E51" s="6" t="inlineStr">
        <is>
          <t>µg</t>
        </is>
      </c>
      <c r="F51" s="8" t="n">
        <v>12</v>
      </c>
      <c r="G51" s="15" t="n">
        <v>0.75</v>
      </c>
      <c r="H51" s="8">
        <f>F51*G51</f>
        <v/>
      </c>
      <c r="I51" s="16">
        <f>G51*100</f>
        <v/>
      </c>
      <c r="J51" s="17" t="inlineStr">
        <is>
          <t>⚠️ Moderate (75–89%)</t>
        </is>
      </c>
      <c r="K51" s="7" t="inlineStr">
        <is>
          <t>KINETICS v2: Day et al. (1983) J Food Sci 48:581-87 — folate STABLE at 120°C in sealed low-O₂ retort. Oxygen is main degradation driver, not heat alone. Sealed pressure cooker is protective.
Folate degradation is oxygen-driven, not primarily heat-driven. Day et al. 1983 showed stability in sealed retort pouches at 120°C. Pressure cooker sealed environment limits O₂ → protective. RF=0.75 (conservative). Previous RF=0.65 applied milk/open-system kinetics incorrectly.</t>
        </is>
      </c>
    </row>
    <row r="52" ht="52" customHeight="1">
      <c r="A52" s="12" t="n">
        <v>593</v>
      </c>
      <c r="B52" s="12" t="n">
        <v>1178</v>
      </c>
      <c r="C52" s="13" t="inlineStr">
        <is>
          <t>Cobalamin</t>
        </is>
      </c>
      <c r="D52" s="13" t="inlineStr">
        <is>
          <t>Vitamin B-12</t>
        </is>
      </c>
      <c r="E52" s="12" t="inlineStr">
        <is>
          <t>µg</t>
        </is>
      </c>
      <c r="F52" s="14" t="n">
        <v>0.4</v>
      </c>
      <c r="G52" s="18" t="n">
        <v>0.55</v>
      </c>
      <c r="H52" s="14">
        <f>F52*G52</f>
        <v/>
      </c>
      <c r="I52" s="19">
        <f>G52*100</f>
        <v/>
      </c>
      <c r="J52" s="20" t="inlineStr">
        <is>
          <t>🔴 Low (&lt;75%)</t>
        </is>
      </c>
      <c r="K52" s="13" t="inlineStr">
        <is>
          <t>KINETICS v2: fitted k=0.00498 min⁻¹ at 120°C to match Ball 2006 + Redalyc 2023 retort data (30-50% loss). RF=exp(-0.00498×120)=0.550.
B12 corrin ring undergoes hydrolysis at sustained 120°C. ~45% thermal destruction at 2h — genuinely irreversible, not leaching. Consistent with industrial canned food retort data. Corrected down from 0.60.</t>
        </is>
      </c>
    </row>
    <row r="53" ht="52" customHeight="1">
      <c r="A53" s="6" t="n">
        <v>594</v>
      </c>
      <c r="B53" s="6" t="n">
        <v>1176</v>
      </c>
      <c r="C53" s="7" t="inlineStr">
        <is>
          <t>Biotin</t>
        </is>
      </c>
      <c r="D53" s="7" t="inlineStr">
        <is>
          <t>Biotin</t>
        </is>
      </c>
      <c r="E53" s="6" t="inlineStr">
        <is>
          <t>µg</t>
        </is>
      </c>
      <c r="F53" s="8" t="n">
        <v>2.5</v>
      </c>
      <c r="G53" s="9" t="n">
        <v>0.91</v>
      </c>
      <c r="H53" s="8">
        <f>F53*G53</f>
        <v/>
      </c>
      <c r="I53" s="10">
        <f>G53*100</f>
        <v/>
      </c>
      <c r="J53" s="11" t="inlineStr">
        <is>
          <t>✅ High (≥90%)</t>
        </is>
      </c>
      <c r="K53" s="7" t="inlineStr">
        <is>
          <t>KINETICS v2: k=0.0008 min⁻¹ at 120°C. RF=exp(-0.0008×120)=0.908 ≈ 0.91. More stable than previous estimate.
Biotin heat-stable. Kinetic model gives RF=0.91. Water-soluble so minor leaching but molecule thermally resilient. Previous 0.85 was conservative; corrected upward.</t>
        </is>
      </c>
    </row>
    <row r="54" ht="52" customHeight="1">
      <c r="A54" s="12" t="n">
        <v>595</v>
      </c>
      <c r="B54" s="12" t="n">
        <v>1180</v>
      </c>
      <c r="C54" s="13" t="inlineStr">
        <is>
          <t>Choline</t>
        </is>
      </c>
      <c r="D54" s="13" t="inlineStr">
        <is>
          <t>Choline, total</t>
        </is>
      </c>
      <c r="E54" s="12" t="inlineStr">
        <is>
          <t>mg</t>
        </is>
      </c>
      <c r="F54" s="14" t="n">
        <v>35</v>
      </c>
      <c r="G54" s="15" t="n">
        <v>0.75</v>
      </c>
      <c r="H54" s="14">
        <f>F54*G54</f>
        <v/>
      </c>
      <c r="I54" s="16">
        <f>G54*100</f>
        <v/>
      </c>
      <c r="J54" s="17" t="inlineStr">
        <is>
          <t>⚠️ Moderate (75–89%)</t>
        </is>
      </c>
      <c r="K54" s="13" t="inlineStr">
        <is>
          <t>USDA Rel.6 Release 6 (choline added): chicken roasted RF=70%; pressure ~75%
Choline water-soluble; heat-stable as free choline but phosphatidylcholine may hydrolyze. 75% estimated.</t>
        </is>
      </c>
    </row>
    <row r="55" ht="52" customHeight="1">
      <c r="A55" s="6" t="n">
        <v>596</v>
      </c>
      <c r="B55" s="6" t="n">
        <v>1008</v>
      </c>
      <c r="C55" s="7" t="inlineStr">
        <is>
          <t>Energy</t>
        </is>
      </c>
      <c r="D55" s="7" t="inlineStr">
        <is>
          <t>Energy</t>
        </is>
      </c>
      <c r="E55" s="6" t="inlineStr">
        <is>
          <t>kcal</t>
        </is>
      </c>
      <c r="F55" s="8" t="n">
        <v>216</v>
      </c>
      <c r="G55" s="9" t="n">
        <v>0.9399999999999999</v>
      </c>
      <c r="H55" s="8">
        <f>F55*G55</f>
        <v/>
      </c>
      <c r="I55" s="10">
        <f>G55*100</f>
        <v/>
      </c>
      <c r="J55" s="11" t="inlineStr">
        <is>
          <t>✅ High (≥90%)</t>
        </is>
      </c>
      <c r="K55" s="7" t="inlineStr">
        <is>
          <t>Calculated from retained macronutrients (protein RF=0.95, fat RF=0.95, carb RF=0.90); cat ME formula (FEDIAF 2025 p.51)
Energy retention follows macronutrient retention. Weighted average based on RF of protein, fat, and carbohydrate fractions.</t>
        </is>
      </c>
    </row>
    <row r="56" ht="52" customHeight="1">
      <c r="A56" s="12" t="n">
        <v>597</v>
      </c>
      <c r="B56" s="12" t="n">
        <v>1051</v>
      </c>
      <c r="C56" s="13" t="inlineStr">
        <is>
          <t>Water</t>
        </is>
      </c>
      <c r="D56" s="13" t="inlineStr">
        <is>
          <t>Water</t>
        </is>
      </c>
      <c r="E56" s="12" t="inlineStr">
        <is>
          <t>g</t>
        </is>
      </c>
      <c r="F56" s="14" t="n">
        <v>44</v>
      </c>
      <c r="G56" s="9" t="n">
        <v>1.05</v>
      </c>
      <c r="H56" s="14">
        <f>F56*G56</f>
        <v/>
      </c>
      <c r="I56" s="10">
        <f>G56*100</f>
        <v/>
      </c>
      <c r="J56" s="11" t="inlineStr">
        <is>
          <t>✅ High (≥90%)</t>
        </is>
      </c>
      <c r="K56" s="13" t="inlineStr">
        <is>
          <t>Weight gain expected: bones absorb water during pressure cooking; net water content increases
Bones absorb water under pressure. Effective moisture content post-cook increases. Factor &gt;1.0 reflects this physical effect.</t>
        </is>
      </c>
    </row>
    <row r="57" ht="52" customHeight="1">
      <c r="A57" s="6" t="n">
        <v>598</v>
      </c>
      <c r="B57" s="6" t="n">
        <v>1007</v>
      </c>
      <c r="C57" s="7" t="inlineStr">
        <is>
          <t>Ash</t>
        </is>
      </c>
      <c r="D57" s="7" t="inlineStr">
        <is>
          <t>Ash</t>
        </is>
      </c>
      <c r="E57" s="6" t="inlineStr">
        <is>
          <t>g</t>
        </is>
      </c>
      <c r="F57" s="8" t="n">
        <v>12.8</v>
      </c>
      <c r="G57" s="9" t="n">
        <v>1</v>
      </c>
      <c r="H57" s="8">
        <f>F57*G57</f>
        <v/>
      </c>
      <c r="I57" s="10">
        <f>G57*100</f>
        <v/>
      </c>
      <c r="J57" s="11" t="inlineStr">
        <is>
          <t>✅ High (≥90%)</t>
        </is>
      </c>
      <c r="K57" s="7" t="inlineStr">
        <is>
          <t>Mineral fraction conserved; see individual mineral RFs above
Total ash = sum of minerals. Since all minerals 95-100% retained (with liquid), ash effectively 100%.</t>
        </is>
      </c>
    </row>
    <row r="58" ht="52" customHeight="1">
      <c r="A58" s="12" t="n">
        <v>599</v>
      </c>
      <c r="B58" s="12" t="n">
        <v>1079</v>
      </c>
      <c r="C58" s="13" t="inlineStr">
        <is>
          <t>Crude Fiber</t>
        </is>
      </c>
      <c r="D58" s="13" t="inlineStr">
        <is>
          <t>Fiber, total dietary</t>
        </is>
      </c>
      <c r="E58" s="12" t="inlineStr">
        <is>
          <t>g</t>
        </is>
      </c>
      <c r="F58" s="14" t="n">
        <v>0</v>
      </c>
      <c r="G58" s="9" t="n">
        <v>1</v>
      </c>
      <c r="H58" s="14">
        <f>F58*G58</f>
        <v/>
      </c>
      <c r="I58" s="10">
        <f>G58*100</f>
        <v/>
      </c>
      <c r="J58" s="11" t="inlineStr">
        <is>
          <t>✅ High (≥90%)</t>
        </is>
      </c>
      <c r="K58" s="13" t="inlineStr">
        <is>
          <t>N/A – value is zero
No dietary fiber in raw chicken bone. No change.</t>
        </is>
      </c>
    </row>
    <row r="59" ht="52" customHeight="1">
      <c r="A59" s="6" t="n">
        <v>600</v>
      </c>
      <c r="B59" s="6" t="n">
        <v>1005</v>
      </c>
      <c r="C59" s="7" t="inlineStr">
        <is>
          <t>Carbohydrate</t>
        </is>
      </c>
      <c r="D59" s="7" t="inlineStr">
        <is>
          <t>Carbohydrate, by diff.</t>
        </is>
      </c>
      <c r="E59" s="6" t="inlineStr">
        <is>
          <t>g</t>
        </is>
      </c>
      <c r="F59" s="8" t="n">
        <v>17.7</v>
      </c>
      <c r="G59" s="9" t="n">
        <v>0.9</v>
      </c>
      <c r="H59" s="8">
        <f>F59*G59</f>
        <v/>
      </c>
      <c r="I59" s="10">
        <f>G59*100</f>
        <v/>
      </c>
      <c r="J59" s="11" t="inlineStr">
        <is>
          <t>✅ High (≥90%)</t>
        </is>
      </c>
      <c r="K59" s="7" t="inlineStr">
        <is>
          <t>Glycosaminoglycans partially hydrolysed to monosaccharides at 120°C; net carbohydrate slightly reduced
Carbohydrate by difference in bone = cartilage matrix components (GAGs). Partial hydrolysis and solubilisation into broth at 120°C. ~10% loss; recovered in liquid.</t>
        </is>
      </c>
    </row>
  </sheetData>
  <mergeCells count="8">
    <mergeCell ref="A18:K18"/>
    <mergeCell ref="A4:K4"/>
    <mergeCell ref="A50:K50"/>
    <mergeCell ref="A24:K24"/>
    <mergeCell ref="A2:K2"/>
    <mergeCell ref="A41:K41"/>
    <mergeCell ref="A1:K1"/>
    <mergeCell ref="A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21" t="inlineStr">
        <is>
          <t>METHODOLOGY &amp; REFERENCES</t>
        </is>
      </c>
    </row>
    <row r="2" ht="20" customHeight="1">
      <c r="A2" s="22" t="inlineStr">
        <is>
          <t>COOKING CONDITIONS</t>
        </is>
      </c>
    </row>
    <row r="3" ht="40" customHeight="1">
      <c r="A3" s="23" t="inlineStr">
        <is>
          <t>Appliance</t>
        </is>
      </c>
      <c r="B3" s="24" t="inlineStr">
        <is>
          <t>Ninja Foodi Pressure Cooker (all models: 11.6 psi / 80 kPa high pressure)</t>
        </is>
      </c>
    </row>
    <row r="4" ht="40" customHeight="1">
      <c r="A4" s="23" t="inlineStr">
        <is>
          <t>Temperature</t>
        </is>
      </c>
      <c r="B4" s="24" t="inlineStr">
        <is>
          <t>~120–121 °C (248–250 °F) — standard high-pressure saturated steam</t>
        </is>
      </c>
    </row>
    <row r="5" ht="40" customHeight="1">
      <c r="A5" s="23" t="inlineStr">
        <is>
          <t>Duration</t>
        </is>
      </c>
      <c r="B5" s="24" t="inlineStr">
        <is>
          <t>120 minutes at full pressure (2 hours)</t>
        </is>
      </c>
    </row>
    <row r="6" ht="85" customHeight="1">
      <c r="A6" s="23" t="inlineStr">
        <is>
          <t>Liquid handling</t>
        </is>
      </c>
      <c r="B6" s="24" t="inlineStr">
        <is>
          <t>CRITICAL ASSUMPTION: All cooking liquid (bone broth) retained and consumed with the food. If liquid is discarded, water-soluble nutrients (K, Na, Mg, B-vitamins, taurine) would have significantly lower retention — potentially 30–60 percentage points lower.</t>
        </is>
      </c>
    </row>
    <row r="7" ht="20" customHeight="1">
      <c r="A7" s="23" t="inlineStr"/>
      <c r="B7" s="24" t="inlineStr"/>
    </row>
    <row r="8" ht="20" customHeight="1">
      <c r="A8" s="22" t="inlineStr">
        <is>
          <t>RETENTION TIERS</t>
        </is>
      </c>
    </row>
    <row r="9" ht="61" customHeight="1">
      <c r="A9" s="25" t="inlineStr">
        <is>
          <t>✅ HIGH  (RF ≥ 0.90)</t>
        </is>
      </c>
      <c r="B9" s="26" t="inlineStr">
        <is>
          <t>Minerals (Ca, P, Fe, Cu, Mn, Zn, Se), fat-soluble vitamins (D, K), most amino acids, riboflavin (0.97), biotin (0.91), pantothenic acid (0.85), niacin (0.85), B6 (0.80), folate (0.75)</t>
        </is>
      </c>
    </row>
    <row r="10" ht="56" customHeight="1">
      <c r="A10" s="27" t="inlineStr">
        <is>
          <t>⚠️ MODERATE  (RF 0.70–0.89)</t>
        </is>
      </c>
      <c r="B10" s="28" t="inlineStr">
        <is>
          <t>Total fat, most PUFAs, Vitamin A, Vitamin E, niacin (0.85), pantothenic acid (0.85), B6 (0.80), folate (0.75), choline, iodine, potassium/sodium/magnesium (with liquid)</t>
        </is>
      </c>
    </row>
    <row r="11" ht="54" customHeight="1">
      <c r="A11" s="29" t="inlineStr">
        <is>
          <t>🔴 LOW  (RF &lt; 0.70)</t>
        </is>
      </c>
      <c r="B11" s="30" t="inlineStr">
        <is>
          <t>Thiamin (0.55) and B12 (0.55) — both primarily THERMAL DESTRUCTION (irreversible). Taurine (0.65) — mixed thermal + leaching. These are not recoverable from broth.</t>
        </is>
      </c>
    </row>
    <row r="12" ht="20" customHeight="1">
      <c r="A12" s="23" t="inlineStr"/>
      <c r="B12" s="24" t="inlineStr"/>
    </row>
    <row r="13" ht="20" customHeight="1">
      <c r="A13" s="22" t="inlineStr">
        <is>
          <t>KEY SOURCES — KINETICS v2</t>
        </is>
      </c>
    </row>
    <row r="14" ht="66" customHeight="1">
      <c r="A14" s="23" t="inlineStr">
        <is>
          <t>[1] Guzman-Tello &amp; Cheftel 1987</t>
        </is>
      </c>
      <c r="B14" s="24" t="inlineStr">
        <is>
          <t>Guzman-Tello R &amp; Cheftel JC (1987). LWT - Food Science and Technology 20. Thiamin degradation rate constant k₀=0.0060-0.0067 min⁻¹ at 121.1°C in aqueous solution. Primary source for thiamin kinetics.</t>
        </is>
      </c>
    </row>
    <row r="15" ht="68" customHeight="1">
      <c r="A15" s="23" t="inlineStr">
        <is>
          <t>[2] Steet &amp; Tong 1994</t>
        </is>
      </c>
      <c r="B15" s="24" t="inlineStr">
        <is>
          <t>Steet JA &amp; Tong CH (1994). J Food Process Preserv 18:253-262. Thiamin degradation in meat matrix: protective effect reduces k by ~0.78× vs. aqueous. Used to derive k=0.0050 min⁻¹ for meat matrix at 120°C.</t>
        </is>
      </c>
    </row>
    <row r="16" ht="81" customHeight="1">
      <c r="A16" s="23" t="inlineStr">
        <is>
          <t>[3] Day &amp; Gregory 1983</t>
        </is>
      </c>
      <c r="B16" s="24" t="inlineStr">
        <is>
          <t>Day BP &amp; Gregory JF (1983). J Food Sci 48:581-587. Thermal stability of folic acid and 5-methyltetrahydrofolic acid in liquid model food systems. Key finding: folate STABLE at 120°C in sealed low-O₂ retort conditions — oxygen drives degradation.</t>
        </is>
      </c>
    </row>
    <row r="17" ht="58" customHeight="1">
      <c r="A17" s="23" t="inlineStr">
        <is>
          <t>[4] Ball GFM 2006</t>
        </is>
      </c>
      <c r="B17" s="24" t="inlineStr">
        <is>
          <t>Ball GFM (2006). Vitamins in Foods: Analysis, Bioavailability, and Stability. CRC Press, Boca Raton. B12 retort data: 30-50% loss at retort conditions. Used for B12 kinetics.</t>
        </is>
      </c>
    </row>
    <row r="18" ht="78" customHeight="1">
      <c r="A18" s="23" t="inlineStr">
        <is>
          <t>[5] PMC11203188 (2024)</t>
        </is>
      </c>
      <c r="B18" s="24" t="inlineStr">
        <is>
          <t>PMC11203188 (2024). B6 kinetics in chickpea matrix at 85°C. Ea=21,700 J/mol. Arrhenius extrapolation to 120°C. Key finding: B6 loss is diffusion-dominated, not thermal destruction — supports higher effective RF when liquid is retained.</t>
        </is>
      </c>
    </row>
    <row r="19" ht="49" customHeight="1">
      <c r="A19" s="23" t="inlineStr">
        <is>
          <t>[6] FEDIAF 2025</t>
        </is>
      </c>
      <c r="B19" s="24" t="inlineStr">
        <is>
          <t>FEDIAF Nutritional Guidelines (September 2025). Taurine heat-lability in wet/canned food (citing Hickman MA et al. 1990 &amp; 1992). ME formula (p.51).</t>
        </is>
      </c>
    </row>
    <row r="20" ht="55" customHeight="1">
      <c r="A20" s="23" t="inlineStr">
        <is>
          <t>[7] ScienceDirect 2021</t>
        </is>
      </c>
      <c r="B20" s="24" t="inlineStr">
        <is>
          <t>Wang et al. (2021). Desorption of nutrients during bone soup cooking. Food Control. DOI: 10.1016/j.foodcont.2021.108540. Mineral dissolution kinetics Ca, P, K, Mg, Na.</t>
        </is>
      </c>
    </row>
    <row r="21" ht="41" customHeight="1">
      <c r="A21" s="23" t="inlineStr">
        <is>
          <t>[8] Murphy et al. 1975</t>
        </is>
      </c>
      <c r="B21" s="24" t="inlineStr">
        <is>
          <t>Murphy EW, Criner PE, Gray BC (1975). J Agric Food Chem 23:1153-1157. True Retention Method (%TR) definition used throughout.</t>
        </is>
      </c>
    </row>
    <row r="22" ht="40" customHeight="1">
      <c r="A22" s="23" t="inlineStr">
        <is>
          <t>[9] Gomaa et al. 2013</t>
        </is>
      </c>
      <c r="B22" s="24" t="inlineStr">
        <is>
          <t>Gomaa EA et al. (2013). Amino acid stability under pressure cooking — 90-95% retention confirmed.</t>
        </is>
      </c>
    </row>
    <row r="23" ht="40" customHeight="1">
      <c r="A23" s="23" t="inlineStr">
        <is>
          <t>[10] Przybylski &amp; Mag 2002</t>
        </is>
      </c>
      <c r="B23" s="24" t="inlineStr">
        <is>
          <t>Przybylski R &amp; Mag T (2002). CRC Press. PUFA oxidation data at 120°C.</t>
        </is>
      </c>
    </row>
    <row r="24" ht="50" customHeight="1">
      <c r="A24" s="23" t="inlineStr">
        <is>
          <t>[11] PMC11397233 (2024)</t>
        </is>
      </c>
      <c r="B24" s="24" t="inlineStr">
        <is>
          <t>Watkins SM et al. (2024). Nutrient Analysis of Raw and Cooked USDA Prime Beef Cuts. PMC11397233. Selenium consistently equal or higher in cooked vs raw.</t>
        </is>
      </c>
    </row>
    <row r="25" ht="53" customHeight="1">
      <c r="A25" s="23" t="inlineStr">
        <is>
          <t>[12] Ninja Foodi specs</t>
        </is>
      </c>
      <c r="B25" s="24" t="inlineStr">
        <is>
          <t>Ninja Foodi high pressure = 11.6 psi (80 kPa) gauge → ~120°C. ~3.4 psi below retort standard (15 psi / 121°C) — negligible effect on kinetics (~1°C difference).</t>
        </is>
      </c>
    </row>
    <row r="26" ht="20" customHeight="1">
      <c r="A26" s="23" t="inlineStr"/>
      <c r="B26" s="24" t="inlineStr"/>
    </row>
    <row r="27" ht="20" customHeight="1">
      <c r="A27" s="22" t="inlineStr">
        <is>
          <t>IMPORTANT CAVEATS</t>
        </is>
      </c>
    </row>
    <row r="28" ht="106" customHeight="1">
      <c r="A28" s="27" t="inlineStr">
        <is>
          <t>Liquid assumption</t>
        </is>
      </c>
      <c r="B28" s="28" t="inlineStr">
        <is>
          <t>ALL retention factors assume the cooking liquid (bone broth) is fed to the animal along with the bone solids. This is the standard approach for bone broth / wet food formulation. Discarding the liquid would substantially reduce effective nutrient delivery for K, Na, Cl, Mg (mobile ions) and all water-soluble vitamins.</t>
        </is>
      </c>
    </row>
    <row r="29" ht="131" customHeight="1">
      <c r="A29" s="27" t="inlineStr">
        <is>
          <t>Methodology v2 (kinetics)</t>
        </is>
      </c>
      <c r="B29" s="28" t="inlineStr">
        <is>
          <t>RFs revised 2026-02-26 using first-order thermal degradation kinetics: RF=exp(-k×t). k values from published D-value/z-value retort literature. Corrected from v1 which incorrectly applied short-cook vegetable studies. Key changes: Thiamin 0.65→0.55 ↓, B12 0.60→0.55 ↓, Riboflavin 0.95→0.97 ↑, Niacin 0.75→0.85 ↑, Pantothenic 0.75→0.85 ↑, B6 0.65→0.80 ↑, Folate 0.65→0.75 ↑, Biotin 0.85→0.91 ↑.</t>
        </is>
      </c>
    </row>
    <row r="30" ht="60" customHeight="1">
      <c r="A30" s="23" t="inlineStr">
        <is>
          <t>Water absorption</t>
        </is>
      </c>
      <c r="B30" s="24" t="inlineStr">
        <is>
          <t>Bones absorb water under pressure; the Water RF of 1.05 reflects physical water uptake by the bone matrix, not a nutrient synthesis. This is a physical effect, not a biochemical one.</t>
        </is>
      </c>
    </row>
    <row r="31" ht="58" customHeight="1">
      <c r="A31" s="23" t="inlineStr">
        <is>
          <t>Carbohydrate note</t>
        </is>
      </c>
      <c r="B31" s="24" t="inlineStr">
        <is>
          <t>Carbohydrate (17.7g) is glycosaminoglycans / cartilage matrix calculated by difference. RF=0.90 reflects partial solubilisation into broth. Value is still recovered in liquid.</t>
        </is>
      </c>
    </row>
  </sheetData>
  <mergeCells count="5">
    <mergeCell ref="A2:B2"/>
    <mergeCell ref="A13:B13"/>
    <mergeCell ref="A1:B1"/>
    <mergeCell ref="A27:B27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8" customWidth="1" min="4" max="4"/>
    <col width="14" customWidth="1" min="5" max="5"/>
    <col width="12" customWidth="1" min="6" max="6"/>
    <col width="12" customWidth="1" min="7" max="7"/>
  </cols>
  <sheetData>
    <row r="1" ht="24" customHeight="1">
      <c r="A1" s="31" t="inlineStr">
        <is>
          <t>Chicken Bones — Cooked Nutrient Values (per 100g raw input, Ninja High Pressure 2h)</t>
        </is>
      </c>
    </row>
    <row r="2" ht="20" customHeight="1">
      <c r="A2" s="32" t="inlineStr">
        <is>
          <t>ID</t>
        </is>
      </c>
      <c r="B2" s="32" t="inlineStr">
        <is>
          <t>Nutrient ID</t>
        </is>
      </c>
      <c r="C2" s="32" t="inlineStr">
        <is>
          <t>FEDIAF Nutrient Name</t>
        </is>
      </c>
      <c r="D2" s="32" t="inlineStr">
        <is>
          <t>Unit</t>
        </is>
      </c>
      <c r="E2" s="32" t="inlineStr">
        <is>
          <t>Raw Value</t>
        </is>
      </c>
      <c r="F2" s="32" t="inlineStr">
        <is>
          <t>RF</t>
        </is>
      </c>
      <c r="G2" s="32" t="inlineStr">
        <is>
          <t>Cooked Value</t>
        </is>
      </c>
    </row>
    <row r="3" ht="18" customHeight="1">
      <c r="A3" s="33" t="n">
        <v>551</v>
      </c>
      <c r="B3" s="33" t="n">
        <v>1003</v>
      </c>
      <c r="C3" s="34" t="inlineStr">
        <is>
          <t>Crude Protein</t>
        </is>
      </c>
      <c r="D3" s="33" t="inlineStr">
        <is>
          <t>g</t>
        </is>
      </c>
      <c r="E3" s="35" t="n">
        <v>12.5</v>
      </c>
      <c r="F3" s="36" t="n">
        <v>0.95</v>
      </c>
      <c r="G3" s="35" t="n">
        <v>11.875</v>
      </c>
    </row>
    <row r="4" ht="18" customHeight="1">
      <c r="A4" s="37" t="n">
        <v>552</v>
      </c>
      <c r="B4" s="37" t="n">
        <v>1220</v>
      </c>
      <c r="C4" s="38" t="inlineStr">
        <is>
          <t>Arginine</t>
        </is>
      </c>
      <c r="D4" s="37" t="inlineStr">
        <is>
          <t>g</t>
        </is>
      </c>
      <c r="E4" s="39" t="n">
        <v>1.36</v>
      </c>
      <c r="F4" s="36" t="n">
        <v>0.93</v>
      </c>
      <c r="G4" s="39" t="n">
        <v>1.2648</v>
      </c>
    </row>
    <row r="5" ht="18" customHeight="1">
      <c r="A5" s="33" t="n">
        <v>553</v>
      </c>
      <c r="B5" s="33" t="n">
        <v>1221</v>
      </c>
      <c r="C5" s="34" t="inlineStr">
        <is>
          <t>Histidine</t>
        </is>
      </c>
      <c r="D5" s="33" t="inlineStr">
        <is>
          <t>g</t>
        </is>
      </c>
      <c r="E5" s="35" t="n">
        <v>0.65</v>
      </c>
      <c r="F5" s="36" t="n">
        <v>0.93</v>
      </c>
      <c r="G5" s="35" t="n">
        <v>0.6045</v>
      </c>
    </row>
    <row r="6" ht="18" customHeight="1">
      <c r="A6" s="37" t="n">
        <v>554</v>
      </c>
      <c r="B6" s="37" t="n">
        <v>1212</v>
      </c>
      <c r="C6" s="38" t="inlineStr">
        <is>
          <t>Isoleucine</t>
        </is>
      </c>
      <c r="D6" s="37" t="inlineStr">
        <is>
          <t>g</t>
        </is>
      </c>
      <c r="E6" s="39" t="n">
        <v>0.85</v>
      </c>
      <c r="F6" s="36" t="n">
        <v>0.93</v>
      </c>
      <c r="G6" s="39" t="n">
        <v>0.7905</v>
      </c>
    </row>
    <row r="7" ht="18" customHeight="1">
      <c r="A7" s="33" t="n">
        <v>555</v>
      </c>
      <c r="B7" s="33" t="n">
        <v>1213</v>
      </c>
      <c r="C7" s="34" t="inlineStr">
        <is>
          <t>Leucine</t>
        </is>
      </c>
      <c r="D7" s="33" t="inlineStr">
        <is>
          <t>g</t>
        </is>
      </c>
      <c r="E7" s="35" t="n">
        <v>1.25</v>
      </c>
      <c r="F7" s="36" t="n">
        <v>0.93</v>
      </c>
      <c r="G7" s="35" t="n">
        <v>1.1625</v>
      </c>
    </row>
    <row r="8" ht="18" customHeight="1">
      <c r="A8" s="37" t="n">
        <v>556</v>
      </c>
      <c r="B8" s="37" t="n">
        <v>1214</v>
      </c>
      <c r="C8" s="38" t="inlineStr">
        <is>
          <t>Lysine</t>
        </is>
      </c>
      <c r="D8" s="37" t="inlineStr">
        <is>
          <t>g</t>
        </is>
      </c>
      <c r="E8" s="39" t="n">
        <v>0.7</v>
      </c>
      <c r="F8" s="36" t="n">
        <v>0.9</v>
      </c>
      <c r="G8" s="39" t="n">
        <v>0.63</v>
      </c>
    </row>
    <row r="9" ht="18" customHeight="1">
      <c r="A9" s="33" t="n">
        <v>557</v>
      </c>
      <c r="B9" s="33" t="n">
        <v>1215</v>
      </c>
      <c r="C9" s="34" t="inlineStr">
        <is>
          <t>Methionine</t>
        </is>
      </c>
      <c r="D9" s="33" t="inlineStr">
        <is>
          <t>g</t>
        </is>
      </c>
      <c r="E9" s="35" t="n">
        <v>0.27</v>
      </c>
      <c r="F9" s="36" t="n">
        <v>0.92</v>
      </c>
      <c r="G9" s="35" t="n">
        <v>0.2484</v>
      </c>
    </row>
    <row r="10" ht="18" customHeight="1">
      <c r="A10" s="37" t="n">
        <v>558</v>
      </c>
      <c r="B10" s="37" t="n">
        <v>1216</v>
      </c>
      <c r="C10" s="38" t="inlineStr">
        <is>
          <t>Cystine</t>
        </is>
      </c>
      <c r="D10" s="37" t="inlineStr">
        <is>
          <t>g</t>
        </is>
      </c>
      <c r="E10" s="39" t="n">
        <v>0.09</v>
      </c>
      <c r="F10" s="36" t="n">
        <v>0.9</v>
      </c>
      <c r="G10" s="39" t="n">
        <v>0.081</v>
      </c>
    </row>
    <row r="11" ht="18" customHeight="1">
      <c r="A11" s="33" t="n">
        <v>559</v>
      </c>
      <c r="B11" s="33" t="n">
        <v>1217</v>
      </c>
      <c r="C11" s="34" t="inlineStr">
        <is>
          <t>Phenylalanine</t>
        </is>
      </c>
      <c r="D11" s="33" t="inlineStr">
        <is>
          <t>g</t>
        </is>
      </c>
      <c r="E11" s="35" t="n">
        <v>0.83</v>
      </c>
      <c r="F11" s="36" t="n">
        <v>0.93</v>
      </c>
      <c r="G11" s="35" t="n">
        <v>0.7719</v>
      </c>
    </row>
    <row r="12" ht="18" customHeight="1">
      <c r="A12" s="37" t="n">
        <v>560</v>
      </c>
      <c r="B12" s="37" t="n">
        <v>1218</v>
      </c>
      <c r="C12" s="38" t="inlineStr">
        <is>
          <t>Tyrosine</t>
        </is>
      </c>
      <c r="D12" s="37" t="inlineStr">
        <is>
          <t>g</t>
        </is>
      </c>
      <c r="E12" s="39" t="n">
        <v>0.35</v>
      </c>
      <c r="F12" s="36" t="n">
        <v>0.93</v>
      </c>
      <c r="G12" s="39" t="n">
        <v>0.3255</v>
      </c>
    </row>
    <row r="13" ht="18" customHeight="1">
      <c r="A13" s="33" t="n">
        <v>561</v>
      </c>
      <c r="B13" s="33" t="n">
        <v>1211</v>
      </c>
      <c r="C13" s="34" t="inlineStr">
        <is>
          <t>Threonine</t>
        </is>
      </c>
      <c r="D13" s="33" t="inlineStr">
        <is>
          <t>g</t>
        </is>
      </c>
      <c r="E13" s="35" t="n">
        <v>0.65</v>
      </c>
      <c r="F13" s="36" t="n">
        <v>0.93</v>
      </c>
      <c r="G13" s="35" t="n">
        <v>0.6045</v>
      </c>
    </row>
    <row r="14" ht="18" customHeight="1">
      <c r="A14" s="37" t="n">
        <v>562</v>
      </c>
      <c r="B14" s="37" t="n">
        <v>1210</v>
      </c>
      <c r="C14" s="38" t="inlineStr">
        <is>
          <t>Tryptophan</t>
        </is>
      </c>
      <c r="D14" s="37" t="inlineStr">
        <is>
          <t>g</t>
        </is>
      </c>
      <c r="E14" s="39" t="n">
        <v>0.11</v>
      </c>
      <c r="F14" s="40" t="n">
        <v>0.88</v>
      </c>
      <c r="G14" s="39" t="n">
        <v>0.0968</v>
      </c>
    </row>
    <row r="15" ht="18" customHeight="1">
      <c r="A15" s="33" t="n">
        <v>563</v>
      </c>
      <c r="B15" s="33" t="n">
        <v>1219</v>
      </c>
      <c r="C15" s="34" t="inlineStr">
        <is>
          <t>Valine</t>
        </is>
      </c>
      <c r="D15" s="33" t="inlineStr">
        <is>
          <t>g</t>
        </is>
      </c>
      <c r="E15" s="35" t="n">
        <v>1.05</v>
      </c>
      <c r="F15" s="36" t="n">
        <v>0.93</v>
      </c>
      <c r="G15" s="35" t="n">
        <v>0.9765</v>
      </c>
    </row>
    <row r="16" ht="18" customHeight="1">
      <c r="A16" s="37" t="n">
        <v>564</v>
      </c>
      <c r="B16" s="37" t="n">
        <v>1234</v>
      </c>
      <c r="C16" s="38" t="inlineStr">
        <is>
          <t>Taurine</t>
        </is>
      </c>
      <c r="D16" s="37" t="inlineStr">
        <is>
          <t>mg</t>
        </is>
      </c>
      <c r="E16" s="39" t="n">
        <v>1</v>
      </c>
      <c r="F16" s="41" t="n">
        <v>0.65</v>
      </c>
      <c r="G16" s="39" t="n">
        <v>0.65</v>
      </c>
    </row>
    <row r="17" ht="18" customHeight="1">
      <c r="A17" s="33" t="n">
        <v>565</v>
      </c>
      <c r="B17" s="33" t="n">
        <v>1004</v>
      </c>
      <c r="C17" s="34" t="inlineStr">
        <is>
          <t>Total Fat</t>
        </is>
      </c>
      <c r="D17" s="33" t="inlineStr">
        <is>
          <t>g</t>
        </is>
      </c>
      <c r="E17" s="35" t="n">
        <v>13</v>
      </c>
      <c r="F17" s="36" t="n">
        <v>0.95</v>
      </c>
      <c r="G17" s="35" t="n">
        <v>12.35</v>
      </c>
    </row>
    <row r="18" ht="18" customHeight="1">
      <c r="A18" s="37" t="n">
        <v>566</v>
      </c>
      <c r="B18" s="37" t="n">
        <v>1269</v>
      </c>
      <c r="C18" s="38" t="inlineStr">
        <is>
          <t>Linoleic acid</t>
        </is>
      </c>
      <c r="D18" s="37" t="inlineStr">
        <is>
          <t>g</t>
        </is>
      </c>
      <c r="E18" s="39" t="n">
        <v>0.6</v>
      </c>
      <c r="F18" s="36" t="n">
        <v>0.9</v>
      </c>
      <c r="G18" s="39" t="n">
        <v>0.54</v>
      </c>
    </row>
    <row r="19" ht="18" customHeight="1">
      <c r="A19" s="33" t="n">
        <v>567</v>
      </c>
      <c r="B19" s="33" t="n">
        <v>1271</v>
      </c>
      <c r="C19" s="34" t="inlineStr">
        <is>
          <t>Arachidonic acid</t>
        </is>
      </c>
      <c r="D19" s="33" t="inlineStr">
        <is>
          <t>g</t>
        </is>
      </c>
      <c r="E19" s="35" t="n">
        <v>0.04</v>
      </c>
      <c r="F19" s="40" t="n">
        <v>0.88</v>
      </c>
      <c r="G19" s="35" t="n">
        <v>0.0352</v>
      </c>
    </row>
    <row r="20" ht="18" customHeight="1">
      <c r="A20" s="37" t="n">
        <v>568</v>
      </c>
      <c r="B20" s="37" t="n">
        <v>1270</v>
      </c>
      <c r="C20" s="38" t="inlineStr">
        <is>
          <t>Alpha-linolenic acid</t>
        </is>
      </c>
      <c r="D20" s="37" t="inlineStr">
        <is>
          <t>g</t>
        </is>
      </c>
      <c r="E20" s="39" t="n">
        <v>0.03</v>
      </c>
      <c r="F20" s="40" t="n">
        <v>0.88</v>
      </c>
      <c r="G20" s="39" t="n">
        <v>0.0264</v>
      </c>
    </row>
    <row r="21" ht="18" customHeight="1">
      <c r="A21" s="33" t="n">
        <v>569</v>
      </c>
      <c r="B21" s="33" t="n">
        <v>1278</v>
      </c>
      <c r="C21" s="34" t="inlineStr">
        <is>
          <t>EPA</t>
        </is>
      </c>
      <c r="D21" s="33" t="inlineStr">
        <is>
          <t>g</t>
        </is>
      </c>
      <c r="E21" s="35" t="n">
        <v>0.005</v>
      </c>
      <c r="F21" s="40" t="n">
        <v>0.85</v>
      </c>
      <c r="G21" s="35" t="n">
        <v>0.0043</v>
      </c>
    </row>
    <row r="22" ht="18" customHeight="1">
      <c r="A22" s="37" t="n">
        <v>570</v>
      </c>
      <c r="B22" s="37" t="n">
        <v>1272</v>
      </c>
      <c r="C22" s="38" t="inlineStr">
        <is>
          <t>DHA</t>
        </is>
      </c>
      <c r="D22" s="37" t="inlineStr">
        <is>
          <t>g</t>
        </is>
      </c>
      <c r="E22" s="39" t="n">
        <v>0.015</v>
      </c>
      <c r="F22" s="40" t="n">
        <v>0.85</v>
      </c>
      <c r="G22" s="39" t="n">
        <v>0.0127</v>
      </c>
    </row>
    <row r="23" ht="18" customHeight="1">
      <c r="A23" s="33" t="n">
        <v>571</v>
      </c>
      <c r="B23" s="33" t="n">
        <v>1087</v>
      </c>
      <c r="C23" s="34" t="inlineStr">
        <is>
          <t>Calcium</t>
        </is>
      </c>
      <c r="D23" s="33" t="inlineStr">
        <is>
          <t>mg</t>
        </is>
      </c>
      <c r="E23" s="35" t="n">
        <v>7000</v>
      </c>
      <c r="F23" s="36" t="n">
        <v>1</v>
      </c>
      <c r="G23" s="35" t="n">
        <v>7000</v>
      </c>
    </row>
    <row r="24" ht="18" customHeight="1">
      <c r="A24" s="37" t="n">
        <v>572</v>
      </c>
      <c r="B24" s="37" t="n">
        <v>1091</v>
      </c>
      <c r="C24" s="38" t="inlineStr">
        <is>
          <t>Phosphorus</t>
        </is>
      </c>
      <c r="D24" s="37" t="inlineStr">
        <is>
          <t>mg</t>
        </is>
      </c>
      <c r="E24" s="39" t="n">
        <v>3250</v>
      </c>
      <c r="F24" s="36" t="n">
        <v>1</v>
      </c>
      <c r="G24" s="39" t="n">
        <v>3250</v>
      </c>
    </row>
    <row r="25" ht="18" customHeight="1">
      <c r="A25" s="33" t="n">
        <v>573</v>
      </c>
      <c r="B25" s="33" t="n">
        <v>1092</v>
      </c>
      <c r="C25" s="34" t="inlineStr">
        <is>
          <t>Potassium</t>
        </is>
      </c>
      <c r="D25" s="33" t="inlineStr">
        <is>
          <t>mg</t>
        </is>
      </c>
      <c r="E25" s="35" t="n">
        <v>200</v>
      </c>
      <c r="F25" s="36" t="n">
        <v>0.95</v>
      </c>
      <c r="G25" s="35" t="n">
        <v>190</v>
      </c>
    </row>
    <row r="26" ht="18" customHeight="1">
      <c r="A26" s="37" t="n">
        <v>574</v>
      </c>
      <c r="B26" s="37" t="n">
        <v>1093</v>
      </c>
      <c r="C26" s="38" t="inlineStr">
        <is>
          <t>Sodium</t>
        </is>
      </c>
      <c r="D26" s="37" t="inlineStr">
        <is>
          <t>mg</t>
        </is>
      </c>
      <c r="E26" s="39" t="n">
        <v>80</v>
      </c>
      <c r="F26" s="36" t="n">
        <v>0.95</v>
      </c>
      <c r="G26" s="39" t="n">
        <v>76</v>
      </c>
    </row>
    <row r="27" ht="18" customHeight="1">
      <c r="A27" s="33" t="n">
        <v>575</v>
      </c>
      <c r="B27" s="33" t="n">
        <v>1088</v>
      </c>
      <c r="C27" s="34" t="inlineStr">
        <is>
          <t>Chloride</t>
        </is>
      </c>
      <c r="D27" s="33" t="inlineStr">
        <is>
          <t>mg</t>
        </is>
      </c>
      <c r="E27" s="35" t="n">
        <v>80</v>
      </c>
      <c r="F27" s="36" t="n">
        <v>0.95</v>
      </c>
      <c r="G27" s="35" t="n">
        <v>76</v>
      </c>
    </row>
    <row r="28" ht="18" customHeight="1">
      <c r="A28" s="37" t="n">
        <v>576</v>
      </c>
      <c r="B28" s="37" t="n">
        <v>1090</v>
      </c>
      <c r="C28" s="38" t="inlineStr">
        <is>
          <t>Magnesium</t>
        </is>
      </c>
      <c r="D28" s="37" t="inlineStr">
        <is>
          <t>mg</t>
        </is>
      </c>
      <c r="E28" s="39" t="n">
        <v>40</v>
      </c>
      <c r="F28" s="36" t="n">
        <v>0.95</v>
      </c>
      <c r="G28" s="39" t="n">
        <v>38</v>
      </c>
    </row>
    <row r="29" ht="18" customHeight="1">
      <c r="A29" s="33" t="n">
        <v>577</v>
      </c>
      <c r="B29" s="33" t="n">
        <v>1089</v>
      </c>
      <c r="C29" s="34" t="inlineStr">
        <is>
          <t>Iron</t>
        </is>
      </c>
      <c r="D29" s="33" t="inlineStr">
        <is>
          <t>mg</t>
        </is>
      </c>
      <c r="E29" s="35" t="n">
        <v>6</v>
      </c>
      <c r="F29" s="36" t="n">
        <v>1</v>
      </c>
      <c r="G29" s="35" t="n">
        <v>6</v>
      </c>
    </row>
    <row r="30" ht="18" customHeight="1">
      <c r="A30" s="37" t="n">
        <v>578</v>
      </c>
      <c r="B30" s="37" t="n">
        <v>1098</v>
      </c>
      <c r="C30" s="38" t="inlineStr">
        <is>
          <t>Copper</t>
        </is>
      </c>
      <c r="D30" s="37" t="inlineStr">
        <is>
          <t>mg</t>
        </is>
      </c>
      <c r="E30" s="39" t="n">
        <v>0.4</v>
      </c>
      <c r="F30" s="36" t="n">
        <v>1</v>
      </c>
      <c r="G30" s="39" t="n">
        <v>0.4</v>
      </c>
    </row>
    <row r="31" ht="18" customHeight="1">
      <c r="A31" s="33" t="n">
        <v>579</v>
      </c>
      <c r="B31" s="33" t="n">
        <v>1101</v>
      </c>
      <c r="C31" s="34" t="inlineStr">
        <is>
          <t>Manganese</t>
        </is>
      </c>
      <c r="D31" s="33" t="inlineStr">
        <is>
          <t>mg</t>
        </is>
      </c>
      <c r="E31" s="35" t="n">
        <v>0.3</v>
      </c>
      <c r="F31" s="36" t="n">
        <v>1</v>
      </c>
      <c r="G31" s="35" t="n">
        <v>0.3</v>
      </c>
    </row>
    <row r="32" ht="18" customHeight="1">
      <c r="A32" s="37" t="n">
        <v>580</v>
      </c>
      <c r="B32" s="37" t="n">
        <v>1095</v>
      </c>
      <c r="C32" s="38" t="inlineStr">
        <is>
          <t>Zinc</t>
        </is>
      </c>
      <c r="D32" s="37" t="inlineStr">
        <is>
          <t>mg</t>
        </is>
      </c>
      <c r="E32" s="39" t="n">
        <v>2.8</v>
      </c>
      <c r="F32" s="36" t="n">
        <v>1</v>
      </c>
      <c r="G32" s="39" t="n">
        <v>2.8</v>
      </c>
    </row>
    <row r="33" ht="18" customHeight="1">
      <c r="A33" s="33" t="n">
        <v>581</v>
      </c>
      <c r="B33" s="33" t="n">
        <v>1100</v>
      </c>
      <c r="C33" s="34" t="inlineStr">
        <is>
          <t>Iodine</t>
        </is>
      </c>
      <c r="D33" s="33" t="inlineStr">
        <is>
          <t>µg</t>
        </is>
      </c>
      <c r="E33" s="35" t="n">
        <v>1.5</v>
      </c>
      <c r="F33" s="36" t="n">
        <v>0.9</v>
      </c>
      <c r="G33" s="35" t="n">
        <v>1.35</v>
      </c>
    </row>
    <row r="34" ht="18" customHeight="1">
      <c r="A34" s="37" t="n">
        <v>582</v>
      </c>
      <c r="B34" s="37" t="n">
        <v>1103</v>
      </c>
      <c r="C34" s="38" t="inlineStr">
        <is>
          <t>Selenium</t>
        </is>
      </c>
      <c r="D34" s="37" t="inlineStr">
        <is>
          <t>µg</t>
        </is>
      </c>
      <c r="E34" s="39" t="n">
        <v>12</v>
      </c>
      <c r="F34" s="36" t="n">
        <v>0.95</v>
      </c>
      <c r="G34" s="39" t="n">
        <v>11.4</v>
      </c>
    </row>
    <row r="35" ht="18" customHeight="1">
      <c r="A35" s="33" t="n">
        <v>583</v>
      </c>
      <c r="B35" s="33" t="n">
        <v>1106</v>
      </c>
      <c r="C35" s="34" t="inlineStr">
        <is>
          <t>Vitamin A</t>
        </is>
      </c>
      <c r="D35" s="33" t="inlineStr">
        <is>
          <t>IU</t>
        </is>
      </c>
      <c r="E35" s="35" t="n">
        <v>30</v>
      </c>
      <c r="F35" s="36" t="n">
        <v>0.9</v>
      </c>
      <c r="G35" s="35" t="n">
        <v>27</v>
      </c>
    </row>
    <row r="36" ht="18" customHeight="1">
      <c r="A36" s="37" t="n">
        <v>584</v>
      </c>
      <c r="B36" s="37" t="n">
        <v>1110</v>
      </c>
      <c r="C36" s="38" t="inlineStr">
        <is>
          <t>Vitamin D</t>
        </is>
      </c>
      <c r="D36" s="37" t="inlineStr">
        <is>
          <t>IU</t>
        </is>
      </c>
      <c r="E36" s="39" t="n">
        <v>1</v>
      </c>
      <c r="F36" s="36" t="n">
        <v>0.95</v>
      </c>
      <c r="G36" s="39" t="n">
        <v>0.95</v>
      </c>
    </row>
    <row r="37" ht="18" customHeight="1">
      <c r="A37" s="33" t="n">
        <v>585</v>
      </c>
      <c r="B37" s="33" t="n">
        <v>1109</v>
      </c>
      <c r="C37" s="34" t="inlineStr">
        <is>
          <t>Vitamin E</t>
        </is>
      </c>
      <c r="D37" s="33" t="inlineStr">
        <is>
          <t>IU</t>
        </is>
      </c>
      <c r="E37" s="35" t="n">
        <v>0.25</v>
      </c>
      <c r="F37" s="36" t="n">
        <v>0.9</v>
      </c>
      <c r="G37" s="35" t="n">
        <v>0.225</v>
      </c>
    </row>
    <row r="38" ht="18" customHeight="1">
      <c r="A38" s="37" t="n">
        <v>586</v>
      </c>
      <c r="B38" s="37" t="n">
        <v>1185</v>
      </c>
      <c r="C38" s="38" t="inlineStr">
        <is>
          <t>Vitamin K</t>
        </is>
      </c>
      <c r="D38" s="37" t="inlineStr">
        <is>
          <t>µg</t>
        </is>
      </c>
      <c r="E38" s="39" t="n">
        <v>2</v>
      </c>
      <c r="F38" s="36" t="n">
        <v>0.95</v>
      </c>
      <c r="G38" s="39" t="n">
        <v>1.9</v>
      </c>
    </row>
    <row r="39" ht="18" customHeight="1">
      <c r="A39" s="33" t="n">
        <v>587</v>
      </c>
      <c r="B39" s="33" t="n">
        <v>1165</v>
      </c>
      <c r="C39" s="34" t="inlineStr">
        <is>
          <t>Thiamin</t>
        </is>
      </c>
      <c r="D39" s="33" t="inlineStr">
        <is>
          <t>mg</t>
        </is>
      </c>
      <c r="E39" s="35" t="n">
        <v>0.02</v>
      </c>
      <c r="F39" s="41" t="n">
        <v>0.55</v>
      </c>
      <c r="G39" s="35" t="n">
        <v>0.011</v>
      </c>
    </row>
    <row r="40" ht="18" customHeight="1">
      <c r="A40" s="37" t="n">
        <v>588</v>
      </c>
      <c r="B40" s="37" t="n">
        <v>1166</v>
      </c>
      <c r="C40" s="38" t="inlineStr">
        <is>
          <t>Riboflavin</t>
        </is>
      </c>
      <c r="D40" s="37" t="inlineStr">
        <is>
          <t>mg</t>
        </is>
      </c>
      <c r="E40" s="39" t="n">
        <v>0.1</v>
      </c>
      <c r="F40" s="36" t="n">
        <v>0.97</v>
      </c>
      <c r="G40" s="39" t="n">
        <v>0.097</v>
      </c>
    </row>
    <row r="41" ht="18" customHeight="1">
      <c r="A41" s="33" t="n">
        <v>589</v>
      </c>
      <c r="B41" s="33" t="n">
        <v>1167</v>
      </c>
      <c r="C41" s="34" t="inlineStr">
        <is>
          <t>Niacin</t>
        </is>
      </c>
      <c r="D41" s="33" t="inlineStr">
        <is>
          <t>mg</t>
        </is>
      </c>
      <c r="E41" s="35" t="n">
        <v>3</v>
      </c>
      <c r="F41" s="40" t="n">
        <v>0.85</v>
      </c>
      <c r="G41" s="35" t="n">
        <v>2.55</v>
      </c>
    </row>
    <row r="42" ht="18" customHeight="1">
      <c r="A42" s="37" t="n">
        <v>590</v>
      </c>
      <c r="B42" s="37" t="n">
        <v>1170</v>
      </c>
      <c r="C42" s="38" t="inlineStr">
        <is>
          <t>Pantothenic acid</t>
        </is>
      </c>
      <c r="D42" s="37" t="inlineStr">
        <is>
          <t>mg</t>
        </is>
      </c>
      <c r="E42" s="39" t="n">
        <v>0.75</v>
      </c>
      <c r="F42" s="40" t="n">
        <v>0.85</v>
      </c>
      <c r="G42" s="39" t="n">
        <v>0.6375</v>
      </c>
    </row>
    <row r="43" ht="18" customHeight="1">
      <c r="A43" s="33" t="n">
        <v>591</v>
      </c>
      <c r="B43" s="33" t="n">
        <v>1175</v>
      </c>
      <c r="C43" s="34" t="inlineStr">
        <is>
          <t>Pyridoxine</t>
        </is>
      </c>
      <c r="D43" s="33" t="inlineStr">
        <is>
          <t>mg</t>
        </is>
      </c>
      <c r="E43" s="35" t="n">
        <v>0.1</v>
      </c>
      <c r="F43" s="40" t="n">
        <v>0.8</v>
      </c>
      <c r="G43" s="35" t="n">
        <v>0.08</v>
      </c>
    </row>
    <row r="44" ht="18" customHeight="1">
      <c r="A44" s="37" t="n">
        <v>592</v>
      </c>
      <c r="B44" s="37" t="n">
        <v>1177</v>
      </c>
      <c r="C44" s="38" t="inlineStr">
        <is>
          <t>Folic acid</t>
        </is>
      </c>
      <c r="D44" s="37" t="inlineStr">
        <is>
          <t>µg</t>
        </is>
      </c>
      <c r="E44" s="39" t="n">
        <v>12</v>
      </c>
      <c r="F44" s="40" t="n">
        <v>0.75</v>
      </c>
      <c r="G44" s="39" t="n">
        <v>9</v>
      </c>
    </row>
    <row r="45" ht="18" customHeight="1">
      <c r="A45" s="33" t="n">
        <v>593</v>
      </c>
      <c r="B45" s="33" t="n">
        <v>1178</v>
      </c>
      <c r="C45" s="34" t="inlineStr">
        <is>
          <t>Cobalamin</t>
        </is>
      </c>
      <c r="D45" s="33" t="inlineStr">
        <is>
          <t>µg</t>
        </is>
      </c>
      <c r="E45" s="35" t="n">
        <v>0.4</v>
      </c>
      <c r="F45" s="41" t="n">
        <v>0.55</v>
      </c>
      <c r="G45" s="35" t="n">
        <v>0.22</v>
      </c>
    </row>
    <row r="46" ht="18" customHeight="1">
      <c r="A46" s="37" t="n">
        <v>594</v>
      </c>
      <c r="B46" s="37" t="n">
        <v>1176</v>
      </c>
      <c r="C46" s="38" t="inlineStr">
        <is>
          <t>Biotin</t>
        </is>
      </c>
      <c r="D46" s="37" t="inlineStr">
        <is>
          <t>µg</t>
        </is>
      </c>
      <c r="E46" s="39" t="n">
        <v>2.5</v>
      </c>
      <c r="F46" s="36" t="n">
        <v>0.91</v>
      </c>
      <c r="G46" s="39" t="n">
        <v>2.275</v>
      </c>
    </row>
    <row r="47" ht="18" customHeight="1">
      <c r="A47" s="33" t="n">
        <v>595</v>
      </c>
      <c r="B47" s="33" t="n">
        <v>1180</v>
      </c>
      <c r="C47" s="34" t="inlineStr">
        <is>
          <t>Choline</t>
        </is>
      </c>
      <c r="D47" s="33" t="inlineStr">
        <is>
          <t>mg</t>
        </is>
      </c>
      <c r="E47" s="35" t="n">
        <v>35</v>
      </c>
      <c r="F47" s="40" t="n">
        <v>0.75</v>
      </c>
      <c r="G47" s="35" t="n">
        <v>26.25</v>
      </c>
    </row>
    <row r="48" ht="18" customHeight="1">
      <c r="A48" s="37" t="n">
        <v>596</v>
      </c>
      <c r="B48" s="37" t="n">
        <v>1008</v>
      </c>
      <c r="C48" s="38" t="inlineStr">
        <is>
          <t>Energy</t>
        </is>
      </c>
      <c r="D48" s="37" t="inlineStr">
        <is>
          <t>kcal</t>
        </is>
      </c>
      <c r="E48" s="39" t="n">
        <v>216</v>
      </c>
      <c r="F48" s="36" t="n">
        <v>0.9399999999999999</v>
      </c>
      <c r="G48" s="39" t="n">
        <v>203.04</v>
      </c>
    </row>
    <row r="49" ht="18" customHeight="1">
      <c r="A49" s="33" t="n">
        <v>597</v>
      </c>
      <c r="B49" s="33" t="n">
        <v>1051</v>
      </c>
      <c r="C49" s="34" t="inlineStr">
        <is>
          <t>Water</t>
        </is>
      </c>
      <c r="D49" s="33" t="inlineStr">
        <is>
          <t>g</t>
        </is>
      </c>
      <c r="E49" s="35" t="n">
        <v>44</v>
      </c>
      <c r="F49" s="36" t="n">
        <v>1.05</v>
      </c>
      <c r="G49" s="35" t="n">
        <v>46.2</v>
      </c>
    </row>
    <row r="50" ht="18" customHeight="1">
      <c r="A50" s="37" t="n">
        <v>598</v>
      </c>
      <c r="B50" s="37" t="n">
        <v>1007</v>
      </c>
      <c r="C50" s="38" t="inlineStr">
        <is>
          <t>Ash</t>
        </is>
      </c>
      <c r="D50" s="37" t="inlineStr">
        <is>
          <t>g</t>
        </is>
      </c>
      <c r="E50" s="39" t="n">
        <v>12.8</v>
      </c>
      <c r="F50" s="36" t="n">
        <v>1</v>
      </c>
      <c r="G50" s="39" t="n">
        <v>12.8</v>
      </c>
    </row>
    <row r="51" ht="18" customHeight="1">
      <c r="A51" s="33" t="n">
        <v>599</v>
      </c>
      <c r="B51" s="33" t="n">
        <v>1079</v>
      </c>
      <c r="C51" s="34" t="inlineStr">
        <is>
          <t>Crude Fiber</t>
        </is>
      </c>
      <c r="D51" s="33" t="inlineStr">
        <is>
          <t>g</t>
        </is>
      </c>
      <c r="E51" s="35" t="n">
        <v>0</v>
      </c>
      <c r="F51" s="36" t="n">
        <v>1</v>
      </c>
      <c r="G51" s="35" t="n">
        <v>0</v>
      </c>
    </row>
    <row r="52" ht="18" customHeight="1">
      <c r="A52" s="37" t="n">
        <v>600</v>
      </c>
      <c r="B52" s="37" t="n">
        <v>1005</v>
      </c>
      <c r="C52" s="38" t="inlineStr">
        <is>
          <t>Carbohydrate</t>
        </is>
      </c>
      <c r="D52" s="37" t="inlineStr">
        <is>
          <t>g</t>
        </is>
      </c>
      <c r="E52" s="39" t="n">
        <v>17.7</v>
      </c>
      <c r="F52" s="36" t="n">
        <v>0.9</v>
      </c>
      <c r="G52" s="39" t="n">
        <v>15.93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2026-02-26T18:49:50Z</dcterms:created>
  <dcterms:modified xmlns:dcterms="http://purl.org/dc/terms/" xmlns:xsi="http://www.w3.org/2001/XMLSchema-instance" xsi:type="dcterms:W3CDTF">2026-02-26T18:49:50Z</dcterms:modified>
</cp:coreProperties>
</file>