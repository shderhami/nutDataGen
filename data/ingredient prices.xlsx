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hab/Documents/Apps/nutDataGen/data/"/>
    </mc:Choice>
  </mc:AlternateContent>
  <xr:revisionPtr revIDLastSave="0" documentId="13_ncr:1_{38255CDE-D4AB-7C4A-B5CC-C318E3F11F65}" xr6:coauthVersionLast="47" xr6:coauthVersionMax="47" xr10:uidLastSave="{00000000-0000-0000-0000-000000000000}"/>
  <bookViews>
    <workbookView xWindow="-40580" yWindow="4120" windowWidth="37880" windowHeight="23820" xr2:uid="{37331FF1-933B-3840-9A66-BE0F7B949161}"/>
  </bookViews>
  <sheets>
    <sheet name="Ingredients" sheetId="1" r:id="rId1"/>
    <sheet name="Suppl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7" i="1"/>
  <c r="D26" i="1"/>
  <c r="D25" i="1"/>
  <c r="I14" i="2"/>
  <c r="H14" i="2"/>
  <c r="G14" i="2"/>
  <c r="I10" i="2"/>
  <c r="H10" i="2"/>
  <c r="G10" i="2"/>
  <c r="I9" i="2"/>
  <c r="H9" i="2"/>
  <c r="G9" i="2"/>
  <c r="I7" i="2"/>
  <c r="H7" i="2"/>
  <c r="G7" i="2"/>
  <c r="G16" i="2"/>
  <c r="C13" i="2" l="1"/>
  <c r="F18" i="2"/>
  <c r="F17" i="2"/>
  <c r="F16" i="2"/>
  <c r="D24" i="1" l="1"/>
  <c r="D23" i="1"/>
  <c r="D22" i="1"/>
  <c r="D21" i="1"/>
  <c r="F15" i="2"/>
  <c r="D20" i="1"/>
  <c r="B20" i="1"/>
  <c r="F14" i="2"/>
  <c r="B19" i="1"/>
  <c r="D18" i="1"/>
  <c r="D17" i="1"/>
  <c r="D16" i="1"/>
  <c r="D15" i="1"/>
  <c r="F13" i="2"/>
  <c r="F12" i="2"/>
  <c r="F11" i="2"/>
  <c r="F10" i="2"/>
  <c r="F9" i="2"/>
  <c r="D14" i="1"/>
  <c r="D13" i="1"/>
  <c r="D12" i="1"/>
  <c r="D11" i="1"/>
  <c r="B11" i="1"/>
  <c r="D10" i="1"/>
  <c r="D9" i="1"/>
  <c r="F8" i="2"/>
  <c r="D8" i="1"/>
  <c r="D7" i="1" l="1"/>
  <c r="F7" i="2"/>
  <c r="D6" i="1"/>
  <c r="B6" i="1"/>
  <c r="D5" i="1"/>
  <c r="F6" i="2"/>
  <c r="D4" i="1"/>
  <c r="D3" i="1"/>
  <c r="D2" i="1"/>
  <c r="E2" i="2"/>
  <c r="F5" i="2"/>
  <c r="E5" i="2"/>
  <c r="F4" i="2"/>
  <c r="F3" i="2"/>
  <c r="D2" i="2"/>
  <c r="B3" i="1"/>
  <c r="F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Shahab Derhami</author>
  </authors>
  <commentList>
    <comment ref="B5" authorId="0" shapeId="0" xr:uid="{2015DF91-C3EF-8A49-827B-29ED0984C71D}">
      <text>
        <r>
          <rPr>
            <b/>
            <sz val="10"/>
            <color rgb="FF000000"/>
            <rFont val="Tahoma"/>
            <family val="2"/>
          </rPr>
          <t>Shahab Derhami: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1 lb (454g) of shell-on blue mussels → approximately 100–115g of raw meat. Price was $4/lb with shells</t>
        </r>
      </text>
    </comment>
    <comment ref="B6" authorId="0" shapeId="0" xr:uid="{3B9D9B57-98C0-5140-924F-C3A7C058CBB3}">
      <text>
        <r>
          <rPr>
            <b/>
            <sz val="10"/>
            <color rgb="FF000000"/>
            <rFont val="Tahoma"/>
            <family val="2"/>
          </rPr>
          <t>Shahab Derhami: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price per egg</t>
        </r>
      </text>
    </comment>
    <comment ref="C6" authorId="0" shapeId="0" xr:uid="{008EEC43-5EE2-884B-90B2-4B44E74430AF}">
      <text>
        <r>
          <rPr>
            <b/>
            <sz val="10"/>
            <color rgb="FF000000"/>
            <rFont val="Tahoma"/>
            <family val="2"/>
          </rPr>
          <t>Shahab Derhami: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one large egg is 50g edible</t>
        </r>
      </text>
    </comment>
    <comment ref="B11" authorId="0" shapeId="0" xr:uid="{8BEAE438-2264-1D41-B7BA-BE995EB5B65C}">
      <text>
        <r>
          <rPr>
            <b/>
            <sz val="10"/>
            <color rgb="FF000000"/>
            <rFont val="Tahoma"/>
            <family val="2"/>
          </rPr>
          <t>Shahab Derhami: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price per egg</t>
        </r>
      </text>
    </comment>
    <comment ref="C11" authorId="0" shapeId="0" xr:uid="{47A5D6D0-FD84-A249-8F1A-1C6D17F3C3E9}">
      <text>
        <r>
          <rPr>
            <b/>
            <sz val="10"/>
            <color rgb="FF000000"/>
            <rFont val="Tahoma"/>
            <family val="2"/>
          </rPr>
          <t>Shahab Derhami: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one large egg is 50g out of which 33g is white</t>
        </r>
      </text>
    </comment>
    <comment ref="A13" authorId="0" shapeId="0" xr:uid="{C9FB0C0D-FCB7-5245-AD61-94CE0D60BE04}">
      <text>
        <r>
          <rPr>
            <b/>
            <sz val="10"/>
            <color rgb="FF000000"/>
            <rFont val="Tahoma"/>
            <family val="2"/>
          </rPr>
          <t>Shahab Derhami: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originally, enterd in the db using 100g chicken bones. then added 25% water to it, portionqty updated to 125 and moisture increased from 46.2g to 71.2g</t>
        </r>
      </text>
    </comment>
    <comment ref="B13" authorId="0" shapeId="0" xr:uid="{32AE55D4-FAF6-4949-B2DE-23DC5F41AF81}">
      <text>
        <r>
          <rPr>
            <b/>
            <sz val="10"/>
            <color rgb="FF000000"/>
            <rFont val="Tahoma"/>
            <family val="2"/>
          </rPr>
          <t>Shahab Derhami: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Estimated price of chicken bones</t>
        </r>
      </text>
    </comment>
    <comment ref="B19" authorId="0" shapeId="0" xr:uid="{749EFB35-6A40-4E42-832C-D5BCAD2B7001}">
      <text>
        <r>
          <rPr>
            <b/>
            <sz val="10"/>
            <color rgb="FF000000"/>
            <rFont val="Tahoma"/>
            <family val="2"/>
          </rPr>
          <t>Shahab Derhami: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price per egg</t>
        </r>
      </text>
    </comment>
    <comment ref="C19" authorId="0" shapeId="0" xr:uid="{25189C65-6FFC-4243-BE74-DA9BFE05C3DF}">
      <text>
        <r>
          <rPr>
            <b/>
            <sz val="10"/>
            <color rgb="FF000000"/>
            <rFont val="Tahoma"/>
            <family val="2"/>
          </rPr>
          <t>Shahab Derhami: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one large egg is 50g out of which 33g is white and 17g is yolk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Shahab Derhami</author>
  </authors>
  <commentList>
    <comment ref="A13" authorId="0" shapeId="0" xr:uid="{D0E1B177-7AC9-D746-A8B7-A052B12E139B}">
      <text>
        <r>
          <rPr>
            <b/>
            <sz val="10"/>
            <color rgb="FF000000"/>
            <rFont val="Tahoma"/>
            <family val="2"/>
          </rPr>
          <t>Shahab Derhami: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had to mix the product label with ai validaton. ran ai validation once, then updated the values with product label and another round of ai validation by claude opus 4.7
</t>
        </r>
        <r>
          <rPr>
            <sz val="10"/>
            <color rgb="FF000000"/>
            <rFont val="Tahoma"/>
            <family val="2"/>
          </rPr>
          <t>2nd edit: had to convert the base unit to tbsp because of the product label mismatch. Originally entered for 100g portion. Portion QTY=100g/8, ME/unit=3.75*8</t>
        </r>
      </text>
    </comment>
  </commentList>
</comments>
</file>

<file path=xl/sharedStrings.xml><?xml version="1.0" encoding="utf-8"?>
<sst xmlns="http://schemas.openxmlformats.org/spreadsheetml/2006/main" count="73" uniqueCount="62">
  <si>
    <t>Price per pound</t>
  </si>
  <si>
    <t>lb to g conversion</t>
  </si>
  <si>
    <t>Item</t>
  </si>
  <si>
    <t>Chicken thigh with skin boneless raw</t>
  </si>
  <si>
    <t>chicken liver raw</t>
  </si>
  <si>
    <t>Taurine powder (now)</t>
  </si>
  <si>
    <t>base unit</t>
  </si>
  <si>
    <t>tsp</t>
  </si>
  <si>
    <t>portion QTY</t>
  </si>
  <si>
    <t>unit price</t>
  </si>
  <si>
    <t>Carbonate calcium powder</t>
  </si>
  <si>
    <t>total price of the container</t>
  </si>
  <si>
    <t>total QTY in the container (in base unit)</t>
  </si>
  <si>
    <t>Fish oil</t>
  </si>
  <si>
    <t>ml</t>
  </si>
  <si>
    <t>RX essentials for cats</t>
  </si>
  <si>
    <t>price per gram</t>
  </si>
  <si>
    <t>chicken heart raw</t>
  </si>
  <si>
    <t>KI stock solution</t>
  </si>
  <si>
    <t>Blue mussel raw</t>
  </si>
  <si>
    <t>chicken egg raw</t>
  </si>
  <si>
    <t>Pure Encapsulations Manganese</t>
  </si>
  <si>
    <t>capsule</t>
  </si>
  <si>
    <t>beef liver raw</t>
  </si>
  <si>
    <t>Salmon Atlantic farm raised raw</t>
  </si>
  <si>
    <t>NOW nztural vitamin E liquid</t>
  </si>
  <si>
    <t>drop</t>
  </si>
  <si>
    <t>chicken breast with skin raw</t>
  </si>
  <si>
    <t>tilapia farm raised raw</t>
  </si>
  <si>
    <t>chicken egg white raw</t>
  </si>
  <si>
    <t>butternut squash raw</t>
  </si>
  <si>
    <t>chicken bone meal</t>
  </si>
  <si>
    <t>beef top round raw</t>
  </si>
  <si>
    <t>NOW Iron 18ml</t>
  </si>
  <si>
    <t>Pure copper glycinate</t>
  </si>
  <si>
    <t>Zinc Gluconate Powder BulkSupplements</t>
  </si>
  <si>
    <t>g</t>
  </si>
  <si>
    <t>Iodized salt morton</t>
  </si>
  <si>
    <t>Nutritional yeast sari</t>
  </si>
  <si>
    <t>turkey thigh meat and skin raw</t>
  </si>
  <si>
    <t>turkey breast meat and skin raw</t>
  </si>
  <si>
    <t>turkey heart raw</t>
  </si>
  <si>
    <t>turkey liver raw</t>
  </si>
  <si>
    <t>chicken egg yolk raw</t>
  </si>
  <si>
    <t>choline now supplements</t>
  </si>
  <si>
    <t>white rice unenriched raw</t>
  </si>
  <si>
    <t>Potassium Iodine MaryRuth</t>
  </si>
  <si>
    <t>Beef chuck roast boneless raw</t>
  </si>
  <si>
    <t>Pumpkin raw</t>
  </si>
  <si>
    <t>Pork loin bonless raw</t>
  </si>
  <si>
    <t>Pork shoulder boneless raw</t>
  </si>
  <si>
    <t>Zinc Gluconate Powder Now</t>
  </si>
  <si>
    <t>tablet</t>
  </si>
  <si>
    <t>Potassium Gluconate now</t>
  </si>
  <si>
    <t>Potassium Cotrate powder now</t>
  </si>
  <si>
    <t>tbsp</t>
  </si>
  <si>
    <t>whole</t>
  </si>
  <si>
    <t>empty shells</t>
  </si>
  <si>
    <t>lamb shoulder lean only raw</t>
  </si>
  <si>
    <t>Chicken thigh skinless boneless raw</t>
  </si>
  <si>
    <t>Beef heart</t>
  </si>
  <si>
    <t>chicken breast skinless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</si>
</sst>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0_);_(&quot;$&quot;* \(#,##0.000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0" fontId="0" fillId="2" borderId="0" xfId="0" applyFill="1"/>
    <xf numFmtId="0" fontId="0" fillId="3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D49C-90A6-2545-B1AD-F87C0CE7D7C6}">
  <dimension ref="A1:E28"/>
  <sheetViews>
    <sheetView tabSelected="1" zoomScale="120" zoomScaleNormal="120" workbookViewId="0">
      <selection activeCell="C30" sqref="C30"/>
    </sheetView>
  </sheetViews>
  <sheetFormatPr baseColWidth="10" defaultRowHeight="16" x14ac:dyDescent="0.2"/>
  <cols>
    <col min="1" max="1" width="31.83203125" bestFit="1" customWidth="1"/>
    <col min="2" max="2" width="13.83203125" style="1" bestFit="1" customWidth="1"/>
    <col min="3" max="3" width="15.5" bestFit="1" customWidth="1"/>
    <col min="4" max="4" width="13.33203125" bestFit="1" customWidth="1"/>
  </cols>
  <sheetData>
    <row r="1" spans="1:5" x14ac:dyDescent="0.2">
      <c r="A1" t="s">
        <v>2</v>
      </c>
      <c r="B1" s="1" t="s">
        <v>0</v>
      </c>
      <c r="C1" t="s">
        <v>1</v>
      </c>
      <c r="D1" t="s">
        <v>16</v>
      </c>
    </row>
    <row r="2" spans="1:5" x14ac:dyDescent="0.2">
      <c r="A2" t="s">
        <v>3</v>
      </c>
      <c r="B2" s="1">
        <v>5.2</v>
      </c>
      <c r="C2">
        <v>453.59199999999998</v>
      </c>
      <c r="D2" s="3">
        <f t="shared" ref="D2:D28" si="0">B2/C2</f>
        <v>1.1464046984955643E-2</v>
      </c>
      <c r="E2" s="2"/>
    </row>
    <row r="3" spans="1:5" x14ac:dyDescent="0.2">
      <c r="A3" t="s">
        <v>4</v>
      </c>
      <c r="B3" s="1">
        <f>0.19*16</f>
        <v>3.04</v>
      </c>
      <c r="C3">
        <v>453.59199999999998</v>
      </c>
      <c r="D3" s="3">
        <f t="shared" si="0"/>
        <v>6.7020582373586842E-3</v>
      </c>
    </row>
    <row r="4" spans="1:5" x14ac:dyDescent="0.2">
      <c r="A4" t="s">
        <v>17</v>
      </c>
      <c r="B4" s="1">
        <v>2</v>
      </c>
      <c r="C4">
        <v>453.59199999999998</v>
      </c>
      <c r="D4" s="3">
        <f t="shared" si="0"/>
        <v>4.4092488403675552E-3</v>
      </c>
    </row>
    <row r="5" spans="1:5" x14ac:dyDescent="0.2">
      <c r="A5" t="s">
        <v>19</v>
      </c>
      <c r="B5" s="1">
        <v>16</v>
      </c>
      <c r="C5">
        <v>453.59199999999998</v>
      </c>
      <c r="D5" s="3">
        <f t="shared" si="0"/>
        <v>3.5273990722940442E-2</v>
      </c>
    </row>
    <row r="6" spans="1:5" x14ac:dyDescent="0.2">
      <c r="A6" t="s">
        <v>20</v>
      </c>
      <c r="B6" s="1">
        <f>3/12</f>
        <v>0.25</v>
      </c>
      <c r="C6">
        <v>50</v>
      </c>
      <c r="D6" s="3">
        <f t="shared" si="0"/>
        <v>5.0000000000000001E-3</v>
      </c>
    </row>
    <row r="7" spans="1:5" x14ac:dyDescent="0.2">
      <c r="A7" t="s">
        <v>23</v>
      </c>
      <c r="B7" s="1">
        <v>4.99</v>
      </c>
      <c r="C7">
        <v>453.59199999999998</v>
      </c>
      <c r="D7" s="3">
        <f t="shared" si="0"/>
        <v>1.1001075856717051E-2</v>
      </c>
    </row>
    <row r="8" spans="1:5" x14ac:dyDescent="0.2">
      <c r="A8" t="s">
        <v>24</v>
      </c>
      <c r="B8" s="1">
        <v>10.99</v>
      </c>
      <c r="C8">
        <v>453.59199999999998</v>
      </c>
      <c r="D8" s="3">
        <f t="shared" si="0"/>
        <v>2.4228822377819717E-2</v>
      </c>
    </row>
    <row r="9" spans="1:5" x14ac:dyDescent="0.2">
      <c r="A9" t="s">
        <v>27</v>
      </c>
      <c r="B9" s="1">
        <v>6.99</v>
      </c>
      <c r="C9">
        <v>453.59199999999998</v>
      </c>
      <c r="D9" s="3">
        <f t="shared" si="0"/>
        <v>1.5410324697084605E-2</v>
      </c>
    </row>
    <row r="10" spans="1:5" x14ac:dyDescent="0.2">
      <c r="A10" t="s">
        <v>28</v>
      </c>
      <c r="B10" s="1">
        <v>6.99</v>
      </c>
      <c r="C10">
        <v>453.59199999999998</v>
      </c>
      <c r="D10" s="3">
        <f t="shared" si="0"/>
        <v>1.5410324697084605E-2</v>
      </c>
    </row>
    <row r="11" spans="1:5" x14ac:dyDescent="0.2">
      <c r="A11" t="s">
        <v>29</v>
      </c>
      <c r="B11" s="1">
        <f>3/12</f>
        <v>0.25</v>
      </c>
      <c r="C11">
        <v>33</v>
      </c>
      <c r="D11" s="3">
        <f t="shared" si="0"/>
        <v>7.575757575757576E-3</v>
      </c>
    </row>
    <row r="12" spans="1:5" x14ac:dyDescent="0.2">
      <c r="A12" t="s">
        <v>30</v>
      </c>
      <c r="B12" s="1">
        <v>2.4</v>
      </c>
      <c r="C12">
        <v>453.59199999999998</v>
      </c>
      <c r="D12" s="3">
        <f t="shared" si="0"/>
        <v>5.2910986084410659E-3</v>
      </c>
    </row>
    <row r="13" spans="1:5" x14ac:dyDescent="0.2">
      <c r="A13" t="s">
        <v>31</v>
      </c>
      <c r="B13" s="1">
        <v>2.99</v>
      </c>
      <c r="C13">
        <v>453.59199999999998</v>
      </c>
      <c r="D13" s="3">
        <f t="shared" si="0"/>
        <v>6.5918270163494953E-3</v>
      </c>
    </row>
    <row r="14" spans="1:5" x14ac:dyDescent="0.2">
      <c r="A14" t="s">
        <v>32</v>
      </c>
      <c r="B14" s="1">
        <v>10.49</v>
      </c>
      <c r="C14">
        <v>454.59199999999998</v>
      </c>
      <c r="D14" s="3">
        <f t="shared" si="0"/>
        <v>2.3075637054765594E-2</v>
      </c>
    </row>
    <row r="15" spans="1:5" x14ac:dyDescent="0.2">
      <c r="A15" t="s">
        <v>39</v>
      </c>
      <c r="B15" s="1">
        <v>5.99</v>
      </c>
      <c r="C15">
        <v>454.59199999999998</v>
      </c>
      <c r="D15" s="3">
        <f t="shared" si="0"/>
        <v>1.3176650710967198E-2</v>
      </c>
    </row>
    <row r="16" spans="1:5" x14ac:dyDescent="0.2">
      <c r="A16" t="s">
        <v>40</v>
      </c>
      <c r="B16" s="1">
        <v>7.29</v>
      </c>
      <c r="C16">
        <v>454.59199999999998</v>
      </c>
      <c r="D16" s="3">
        <f t="shared" si="0"/>
        <v>1.60363578769534E-2</v>
      </c>
    </row>
    <row r="17" spans="1:4" x14ac:dyDescent="0.2">
      <c r="A17" t="s">
        <v>41</v>
      </c>
      <c r="B17" s="1">
        <v>5</v>
      </c>
      <c r="C17">
        <v>454.59199999999998</v>
      </c>
      <c r="D17" s="3">
        <f t="shared" si="0"/>
        <v>1.099887371533155E-2</v>
      </c>
    </row>
    <row r="18" spans="1:4" x14ac:dyDescent="0.2">
      <c r="A18" t="s">
        <v>42</v>
      </c>
      <c r="B18" s="1">
        <v>4</v>
      </c>
      <c r="C18">
        <v>454.59199999999998</v>
      </c>
      <c r="D18" s="3">
        <f t="shared" si="0"/>
        <v>8.7990989722652405E-3</v>
      </c>
    </row>
    <row r="19" spans="1:4" x14ac:dyDescent="0.2">
      <c r="A19" t="s">
        <v>43</v>
      </c>
      <c r="B19" s="1">
        <f>3/12</f>
        <v>0.25</v>
      </c>
      <c r="C19">
        <v>17</v>
      </c>
      <c r="D19" s="3">
        <v>2</v>
      </c>
    </row>
    <row r="20" spans="1:4" x14ac:dyDescent="0.2">
      <c r="A20" t="s">
        <v>45</v>
      </c>
      <c r="B20" s="1">
        <f>24/15</f>
        <v>1.6</v>
      </c>
      <c r="C20">
        <v>454.59199999999998</v>
      </c>
      <c r="D20" s="3">
        <f t="shared" si="0"/>
        <v>3.5196395889060964E-3</v>
      </c>
    </row>
    <row r="21" spans="1:4" x14ac:dyDescent="0.2">
      <c r="A21" t="s">
        <v>47</v>
      </c>
      <c r="B21" s="1">
        <v>9</v>
      </c>
      <c r="C21">
        <v>454.59199999999998</v>
      </c>
      <c r="D21" s="3">
        <f t="shared" si="0"/>
        <v>1.9797972687596792E-2</v>
      </c>
    </row>
    <row r="22" spans="1:4" x14ac:dyDescent="0.2">
      <c r="A22" t="s">
        <v>48</v>
      </c>
      <c r="B22" s="1">
        <v>3</v>
      </c>
      <c r="C22">
        <v>454.59199999999998</v>
      </c>
      <c r="D22" s="3">
        <f t="shared" si="0"/>
        <v>6.59932422919893E-3</v>
      </c>
    </row>
    <row r="23" spans="1:4" x14ac:dyDescent="0.2">
      <c r="A23" t="s">
        <v>49</v>
      </c>
      <c r="B23" s="1">
        <v>3</v>
      </c>
      <c r="C23">
        <v>454.59199999999998</v>
      </c>
      <c r="D23" s="3">
        <f t="shared" si="0"/>
        <v>6.59932422919893E-3</v>
      </c>
    </row>
    <row r="24" spans="1:4" x14ac:dyDescent="0.2">
      <c r="A24" t="s">
        <v>50</v>
      </c>
      <c r="B24" s="1">
        <v>5</v>
      </c>
      <c r="C24">
        <v>454.59199999999998</v>
      </c>
      <c r="D24" s="3">
        <f t="shared" si="0"/>
        <v>1.099887371533155E-2</v>
      </c>
    </row>
    <row r="25" spans="1:4" x14ac:dyDescent="0.2">
      <c r="A25" t="s">
        <v>58</v>
      </c>
      <c r="B25" s="1">
        <v>15.5</v>
      </c>
      <c r="C25">
        <v>454.59199999999998</v>
      </c>
      <c r="D25" s="3">
        <f t="shared" si="0"/>
        <v>3.4096508517527803E-2</v>
      </c>
    </row>
    <row r="26" spans="1:4" x14ac:dyDescent="0.2">
      <c r="A26" t="s">
        <v>59</v>
      </c>
      <c r="B26" s="1">
        <v>4.8</v>
      </c>
      <c r="C26">
        <v>454.59199999999998</v>
      </c>
      <c r="D26" s="3">
        <f t="shared" si="0"/>
        <v>1.0558918766718288E-2</v>
      </c>
    </row>
    <row r="27" spans="1:4" x14ac:dyDescent="0.2">
      <c r="A27" t="s">
        <v>60</v>
      </c>
      <c r="B27" s="1">
        <v>4.49</v>
      </c>
      <c r="C27">
        <v>454.59199999999998</v>
      </c>
      <c r="D27" s="3">
        <f t="shared" si="0"/>
        <v>9.8769885963677327E-3</v>
      </c>
    </row>
    <row r="28" spans="1:4" x14ac:dyDescent="0.2">
      <c r="A28" t="s">
        <v>61</v>
      </c>
      <c r="B28" s="1">
        <v>5.99</v>
      </c>
      <c r="C28">
        <v>454.59199999999998</v>
      </c>
      <c r="D28" s="3">
        <f t="shared" si="0"/>
        <v>1.3176650710967198E-2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1BC6-491C-2C49-8D01-A8FB464A2033}">
  <dimension ref="A1:I19"/>
  <sheetViews>
    <sheetView topLeftCell="A4" zoomScale="181" zoomScaleNormal="181" workbookViewId="0">
      <selection activeCell="D17" sqref="D17"/>
    </sheetView>
  </sheetViews>
  <sheetFormatPr baseColWidth="10" defaultRowHeight="16" x14ac:dyDescent="0.2"/>
  <cols>
    <col min="1" max="1" width="35.33203125" bestFit="1" customWidth="1"/>
    <col min="4" max="4" width="22.1640625" style="1" bestFit="1" customWidth="1"/>
    <col min="5" max="5" width="32.6640625" bestFit="1" customWidth="1"/>
    <col min="6" max="6" width="10.83203125" style="1"/>
  </cols>
  <sheetData>
    <row r="1" spans="1:9" x14ac:dyDescent="0.2">
      <c r="A1" t="s">
        <v>2</v>
      </c>
      <c r="B1" s="1" t="s">
        <v>6</v>
      </c>
      <c r="C1" t="s">
        <v>8</v>
      </c>
      <c r="D1" s="1" t="s">
        <v>11</v>
      </c>
      <c r="E1" t="s">
        <v>12</v>
      </c>
      <c r="F1" s="1" t="s">
        <v>9</v>
      </c>
      <c r="G1" t="s">
        <v>56</v>
      </c>
      <c r="H1" s="1" t="s">
        <v>57</v>
      </c>
    </row>
    <row r="2" spans="1:9" x14ac:dyDescent="0.2">
      <c r="A2" t="s">
        <v>5</v>
      </c>
      <c r="B2" s="1" t="s">
        <v>7</v>
      </c>
      <c r="C2" s="5">
        <v>0.25</v>
      </c>
      <c r="D2" s="1">
        <f>10.4-1.59</f>
        <v>8.81</v>
      </c>
      <c r="E2">
        <f>227/4</f>
        <v>56.75</v>
      </c>
      <c r="F2" s="4">
        <f t="shared" ref="F2:F17" si="0">D2/E2</f>
        <v>0.1552422907488987</v>
      </c>
    </row>
    <row r="3" spans="1:9" x14ac:dyDescent="0.2">
      <c r="A3" t="s">
        <v>10</v>
      </c>
      <c r="B3" s="1" t="s">
        <v>7</v>
      </c>
      <c r="C3" s="5">
        <v>0.5</v>
      </c>
      <c r="D3" s="1">
        <v>13.99</v>
      </c>
      <c r="E3">
        <v>100</v>
      </c>
      <c r="F3" s="4">
        <f t="shared" si="0"/>
        <v>0.1399</v>
      </c>
    </row>
    <row r="4" spans="1:9" x14ac:dyDescent="0.2">
      <c r="A4" t="s">
        <v>13</v>
      </c>
      <c r="B4" s="1" t="s">
        <v>14</v>
      </c>
      <c r="C4">
        <v>1</v>
      </c>
      <c r="D4" s="1">
        <v>15.26</v>
      </c>
      <c r="E4">
        <v>60</v>
      </c>
      <c r="F4" s="4">
        <f t="shared" si="0"/>
        <v>0.25433333333333336</v>
      </c>
    </row>
    <row r="5" spans="1:9" x14ac:dyDescent="0.2">
      <c r="A5" t="s">
        <v>15</v>
      </c>
      <c r="B5" s="1" t="s">
        <v>7</v>
      </c>
      <c r="C5">
        <v>1</v>
      </c>
      <c r="D5" s="1">
        <v>18.399999999999999</v>
      </c>
      <c r="E5">
        <f>113.4/4</f>
        <v>28.35</v>
      </c>
      <c r="F5" s="4">
        <f t="shared" si="0"/>
        <v>0.64902998236331566</v>
      </c>
    </row>
    <row r="6" spans="1:9" x14ac:dyDescent="0.2">
      <c r="A6" t="s">
        <v>18</v>
      </c>
      <c r="B6" s="1" t="s">
        <v>14</v>
      </c>
      <c r="C6">
        <v>1</v>
      </c>
      <c r="D6" s="1">
        <v>30</v>
      </c>
      <c r="E6">
        <v>57</v>
      </c>
      <c r="F6" s="4">
        <f t="shared" si="0"/>
        <v>0.52631578947368418</v>
      </c>
    </row>
    <row r="7" spans="1:9" x14ac:dyDescent="0.2">
      <c r="A7" t="s">
        <v>21</v>
      </c>
      <c r="B7" s="1" t="s">
        <v>22</v>
      </c>
      <c r="C7">
        <v>1</v>
      </c>
      <c r="D7" s="1">
        <v>13</v>
      </c>
      <c r="E7">
        <v>60</v>
      </c>
      <c r="F7" s="4">
        <f t="shared" si="0"/>
        <v>0.21666666666666667</v>
      </c>
      <c r="G7">
        <f>1.07/5</f>
        <v>0.21400000000000002</v>
      </c>
      <c r="H7">
        <f>0.239/5</f>
        <v>4.7799999999999995E-2</v>
      </c>
      <c r="I7" s="6">
        <f>G7-H7</f>
        <v>0.16620000000000001</v>
      </c>
    </row>
    <row r="8" spans="1:9" x14ac:dyDescent="0.2">
      <c r="A8" t="s">
        <v>25</v>
      </c>
      <c r="B8" s="1" t="s">
        <v>26</v>
      </c>
      <c r="C8">
        <v>1</v>
      </c>
      <c r="D8" s="1">
        <v>12</v>
      </c>
      <c r="E8">
        <v>900</v>
      </c>
      <c r="F8" s="4">
        <f t="shared" si="0"/>
        <v>1.3333333333333334E-2</v>
      </c>
    </row>
    <row r="9" spans="1:9" x14ac:dyDescent="0.2">
      <c r="A9" t="s">
        <v>33</v>
      </c>
      <c r="B9" s="1" t="s">
        <v>22</v>
      </c>
      <c r="C9">
        <v>1</v>
      </c>
      <c r="D9" s="1">
        <v>9</v>
      </c>
      <c r="E9">
        <v>120</v>
      </c>
      <c r="F9" s="4">
        <f t="shared" si="0"/>
        <v>7.4999999999999997E-2</v>
      </c>
      <c r="G9">
        <f>2.37/5</f>
        <v>0.47400000000000003</v>
      </c>
      <c r="H9">
        <f>0.378/5</f>
        <v>7.5600000000000001E-2</v>
      </c>
      <c r="I9" s="6">
        <f>G9-H9</f>
        <v>0.39840000000000003</v>
      </c>
    </row>
    <row r="10" spans="1:9" x14ac:dyDescent="0.2">
      <c r="A10" t="s">
        <v>34</v>
      </c>
      <c r="B10" s="1" t="s">
        <v>22</v>
      </c>
      <c r="C10">
        <v>1</v>
      </c>
      <c r="D10" s="1">
        <v>13</v>
      </c>
      <c r="E10">
        <v>60</v>
      </c>
      <c r="F10" s="4">
        <f t="shared" si="0"/>
        <v>0.21666666666666667</v>
      </c>
      <c r="G10">
        <f>0.989/5</f>
        <v>0.1978</v>
      </c>
      <c r="H10">
        <f>0.234/5</f>
        <v>4.6800000000000001E-2</v>
      </c>
      <c r="I10" s="6">
        <f>G10-H10</f>
        <v>0.151</v>
      </c>
    </row>
    <row r="11" spans="1:9" x14ac:dyDescent="0.2">
      <c r="A11" t="s">
        <v>35</v>
      </c>
      <c r="B11" s="1" t="s">
        <v>36</v>
      </c>
      <c r="C11" s="5">
        <v>0.28499999999999998</v>
      </c>
      <c r="D11" s="1">
        <v>21</v>
      </c>
      <c r="E11">
        <v>1754</v>
      </c>
      <c r="F11" s="4">
        <f t="shared" si="0"/>
        <v>1.1972633979475485E-2</v>
      </c>
    </row>
    <row r="12" spans="1:9" x14ac:dyDescent="0.2">
      <c r="A12" t="s">
        <v>37</v>
      </c>
      <c r="B12" s="1" t="s">
        <v>7</v>
      </c>
      <c r="C12" s="5">
        <v>0.25</v>
      </c>
      <c r="D12" s="1">
        <v>3</v>
      </c>
      <c r="E12">
        <v>491</v>
      </c>
      <c r="F12" s="4">
        <f t="shared" si="0"/>
        <v>6.1099796334012219E-3</v>
      </c>
    </row>
    <row r="13" spans="1:9" x14ac:dyDescent="0.2">
      <c r="A13" t="s">
        <v>38</v>
      </c>
      <c r="B13" s="1" t="s">
        <v>55</v>
      </c>
      <c r="C13">
        <f>100/8</f>
        <v>12.5</v>
      </c>
      <c r="D13" s="1">
        <v>18</v>
      </c>
      <c r="E13">
        <v>28</v>
      </c>
      <c r="F13" s="4">
        <f t="shared" si="0"/>
        <v>0.6428571428571429</v>
      </c>
    </row>
    <row r="14" spans="1:9" x14ac:dyDescent="0.2">
      <c r="A14" t="s">
        <v>44</v>
      </c>
      <c r="B14" s="1" t="s">
        <v>22</v>
      </c>
      <c r="C14">
        <v>1</v>
      </c>
      <c r="D14" s="1">
        <v>10</v>
      </c>
      <c r="E14">
        <v>100</v>
      </c>
      <c r="F14" s="4">
        <f t="shared" si="0"/>
        <v>0.1</v>
      </c>
      <c r="G14">
        <f>4.702/5</f>
        <v>0.94040000000000001</v>
      </c>
      <c r="H14">
        <f>0.615/5</f>
        <v>0.123</v>
      </c>
      <c r="I14" s="6">
        <f>G14-H14</f>
        <v>0.81740000000000002</v>
      </c>
    </row>
    <row r="15" spans="1:9" x14ac:dyDescent="0.2">
      <c r="A15" t="s">
        <v>46</v>
      </c>
      <c r="B15" s="1" t="s">
        <v>26</v>
      </c>
      <c r="C15">
        <v>1</v>
      </c>
      <c r="D15" s="1">
        <v>16</v>
      </c>
      <c r="E15">
        <v>900</v>
      </c>
      <c r="F15" s="4">
        <f t="shared" si="0"/>
        <v>1.7777777777777778E-2</v>
      </c>
    </row>
    <row r="16" spans="1:9" x14ac:dyDescent="0.2">
      <c r="A16" t="s">
        <v>51</v>
      </c>
      <c r="B16" s="1" t="s">
        <v>52</v>
      </c>
      <c r="C16">
        <v>1</v>
      </c>
      <c r="D16" s="1">
        <v>6</v>
      </c>
      <c r="E16">
        <v>100</v>
      </c>
      <c r="F16" s="4">
        <f t="shared" si="0"/>
        <v>0.06</v>
      </c>
      <c r="G16" s="6">
        <f>5.303/10</f>
        <v>0.53029999999999999</v>
      </c>
    </row>
    <row r="17" spans="1:6" x14ac:dyDescent="0.2">
      <c r="A17" t="s">
        <v>53</v>
      </c>
      <c r="B17" s="1" t="s">
        <v>52</v>
      </c>
      <c r="C17">
        <v>1</v>
      </c>
      <c r="D17" s="1">
        <v>9</v>
      </c>
      <c r="E17">
        <v>100</v>
      </c>
      <c r="F17" s="4">
        <f t="shared" si="0"/>
        <v>0.09</v>
      </c>
    </row>
    <row r="18" spans="1:6" x14ac:dyDescent="0.2">
      <c r="A18" t="s">
        <v>54</v>
      </c>
      <c r="B18" s="1" t="s">
        <v>7</v>
      </c>
      <c r="C18">
        <v>0.25</v>
      </c>
      <c r="D18" s="1">
        <v>12</v>
      </c>
      <c r="E18">
        <v>243</v>
      </c>
      <c r="F18" s="4">
        <f>D18/E18/C18</f>
        <v>0.19753086419753085</v>
      </c>
    </row>
    <row r="19" spans="1:6" x14ac:dyDescent="0.2">
      <c r="B19" s="1"/>
      <c r="F19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Ingredients</vt:lpstr>
      <vt:lpstr>Supplements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Shahab Derhami</dc:creator>
  <cp:lastModifiedBy>Shahab Derhami</cp:lastModifiedBy>
  <dcterms:created xsi:type="dcterms:W3CDTF">2026-02-18T17:17:37Z</dcterms:created>
  <dcterms:modified xsi:type="dcterms:W3CDTF">2026-08-27T16:58:22Z</dcterms:modified>
</cp:coreProperties>
</file>