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derhami/Documents/Apps/nutDataGen/data/"/>
    </mc:Choice>
  </mc:AlternateContent>
  <xr:revisionPtr revIDLastSave="0" documentId="13_ncr:1_{30EB5A47-2F00-7249-97B3-E5E73535954F}" xr6:coauthVersionLast="47" xr6:coauthVersionMax="47" xr10:uidLastSave="{00000000-0000-0000-0000-000000000000}"/>
  <bookViews>
    <workbookView xWindow="-41800" yWindow="5480" windowWidth="28040" windowHeight="17440" xr2:uid="{37331FF1-933B-3840-9A66-BE0F7B949161}"/>
  </bookViews>
  <sheets>
    <sheet name="Ingredients" sheetId="1" r:id="rId1"/>
    <sheet name="Suppl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3" i="1"/>
  <c r="D2" i="1"/>
  <c r="E2" i="2"/>
  <c r="F5" i="2"/>
  <c r="E5" i="2"/>
  <c r="F4" i="2"/>
  <c r="F3" i="2"/>
  <c r="D2" i="2"/>
  <c r="B3" i="1"/>
  <c r="F2" i="2" l="1"/>
</calcChain>
</file>

<file path=xl/sharedStrings.xml><?xml version="1.0" encoding="utf-8"?>
<sst xmlns="http://schemas.openxmlformats.org/spreadsheetml/2006/main" count="21" uniqueCount="18">
  <si>
    <t>Price per pound</t>
  </si>
  <si>
    <t>lb to g conversion</t>
  </si>
  <si>
    <t>Item</t>
  </si>
  <si>
    <t>Chicken thigh with skin boneless raw</t>
  </si>
  <si>
    <t>chicken liver raw</t>
  </si>
  <si>
    <t>Taurine powder (now)</t>
  </si>
  <si>
    <t>base unit</t>
  </si>
  <si>
    <t>tsp</t>
  </si>
  <si>
    <t>portion QTY</t>
  </si>
  <si>
    <t>unit price</t>
  </si>
  <si>
    <t>Carbonate calcium powder</t>
  </si>
  <si>
    <t>total price of the container</t>
  </si>
  <si>
    <t>total QTY in the container (in base unit)</t>
  </si>
  <si>
    <t>Fish oil</t>
  </si>
  <si>
    <t>ml</t>
  </si>
  <si>
    <t>RX essentials for cats</t>
  </si>
  <si>
    <t>price per gram</t>
  </si>
  <si>
    <t>chicken heart 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</si>
</sst>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_(&quot;$&quot;* #,##0.0000_);_(&quot;$&quot;* \(#,##0.0000\);_(&quot;$&quot;* &quot;-&quot;??_);_(@_)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44" fontId="0" fillId="0" borderId="0" xfId="0" applyNumberFormat="1"/>
    <xf numFmtId="165" fontId="0" fillId="0" borderId="0" xfId="0" applyNumberFormat="1"/>
    <xf numFmtId="165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D49C-90A6-2545-B1AD-F87C0CE7D7C6}">
  <dimension ref="A1:E4"/>
  <sheetViews>
    <sheetView tabSelected="1" workbookViewId="0">
      <selection activeCell="D4" sqref="D4"/>
    </sheetView>
  </sheetViews>
  <sheetFormatPr baseColWidth="10" defaultRowHeight="16" x14ac:dyDescent="0.2"/>
  <cols>
    <col min="1" max="1" width="31.83203125" bestFit="1" customWidth="1"/>
    <col min="2" max="2" width="13.83203125" style="1" bestFit="1" customWidth="1"/>
    <col min="3" max="3" width="15.5" bestFit="1" customWidth="1"/>
    <col min="4" max="4" width="13.33203125" bestFit="1" customWidth="1"/>
  </cols>
  <sheetData>
    <row r="1" spans="1:5" x14ac:dyDescent="0.2">
      <c r="A1" t="s">
        <v>2</v>
      </c>
      <c r="B1" s="1" t="s">
        <v>0</v>
      </c>
      <c r="C1" t="s">
        <v>1</v>
      </c>
      <c r="D1" t="s">
        <v>16</v>
      </c>
    </row>
    <row r="2" spans="1:5" x14ac:dyDescent="0.2">
      <c r="A2" t="s">
        <v>3</v>
      </c>
      <c r="B2" s="1">
        <v>5.2</v>
      </c>
      <c r="C2">
        <v>453.59199999999998</v>
      </c>
      <c r="D2" s="3">
        <f>B2/C2</f>
        <v>1.1464046984955643E-2</v>
      </c>
      <c r="E2" s="2"/>
    </row>
    <row r="3" spans="1:5" x14ac:dyDescent="0.2">
      <c r="A3" t="s">
        <v>4</v>
      </c>
      <c r="B3" s="1">
        <f>0.19*16</f>
        <v>3.04</v>
      </c>
      <c r="C3">
        <v>453.59199999999998</v>
      </c>
      <c r="D3" s="3">
        <f>B3/C3</f>
        <v>6.7020582373586842E-3</v>
      </c>
    </row>
    <row r="4" spans="1:5" x14ac:dyDescent="0.2">
      <c r="A4" t="s">
        <v>17</v>
      </c>
      <c r="B4" s="1">
        <v>2</v>
      </c>
      <c r="C4">
        <v>454.59199999999998</v>
      </c>
      <c r="D4" s="3">
        <f>B4/C4</f>
        <v>4.3995494861326203E-3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BC6-491C-2C49-8D01-A8FB464A2033}">
  <dimension ref="A1:F5"/>
  <sheetViews>
    <sheetView workbookViewId="0">
      <selection activeCell="A9" sqref="A9"/>
    </sheetView>
  </sheetViews>
  <sheetFormatPr baseColWidth="10" defaultRowHeight="16" x14ac:dyDescent="0.2"/>
  <cols>
    <col min="1" max="1" width="31.83203125" bestFit="1" customWidth="1"/>
    <col min="4" max="4" width="22.1640625" style="1" bestFit="1" customWidth="1"/>
    <col min="5" max="5" width="32.6640625" bestFit="1" customWidth="1"/>
    <col min="6" max="6" width="10.83203125" style="1"/>
  </cols>
  <sheetData>
    <row r="1" spans="1:6" x14ac:dyDescent="0.2">
      <c r="A1" t="s">
        <v>2</v>
      </c>
      <c r="B1" s="1" t="s">
        <v>6</v>
      </c>
      <c r="C1" t="s">
        <v>8</v>
      </c>
      <c r="D1" s="1" t="s">
        <v>11</v>
      </c>
      <c r="E1" t="s">
        <v>12</v>
      </c>
      <c r="F1" s="1" t="s">
        <v>9</v>
      </c>
    </row>
    <row r="2" spans="1:6" x14ac:dyDescent="0.2">
      <c r="A2" t="s">
        <v>5</v>
      </c>
      <c r="B2" s="1" t="s">
        <v>7</v>
      </c>
      <c r="C2">
        <v>0.25</v>
      </c>
      <c r="D2" s="1">
        <f>10.4-1.59</f>
        <v>8.81</v>
      </c>
      <c r="E2">
        <f>227/4</f>
        <v>56.75</v>
      </c>
      <c r="F2" s="4">
        <f>D2/E2</f>
        <v>0.1552422907488987</v>
      </c>
    </row>
    <row r="3" spans="1:6" x14ac:dyDescent="0.2">
      <c r="A3" t="s">
        <v>10</v>
      </c>
      <c r="B3" s="1" t="s">
        <v>7</v>
      </c>
      <c r="C3">
        <v>0.5</v>
      </c>
      <c r="D3" s="1">
        <v>13.99</v>
      </c>
      <c r="E3">
        <v>100</v>
      </c>
      <c r="F3" s="4">
        <f>D3/E3</f>
        <v>0.1399</v>
      </c>
    </row>
    <row r="4" spans="1:6" x14ac:dyDescent="0.2">
      <c r="A4" t="s">
        <v>13</v>
      </c>
      <c r="B4" s="1" t="s">
        <v>14</v>
      </c>
      <c r="C4">
        <v>1</v>
      </c>
      <c r="D4" s="1">
        <v>15.26</v>
      </c>
      <c r="E4">
        <v>60</v>
      </c>
      <c r="F4" s="4">
        <f>D4/E4</f>
        <v>0.25433333333333336</v>
      </c>
    </row>
    <row r="5" spans="1:6" x14ac:dyDescent="0.2">
      <c r="A5" t="s">
        <v>15</v>
      </c>
      <c r="B5" s="1" t="s">
        <v>7</v>
      </c>
      <c r="C5">
        <v>1</v>
      </c>
      <c r="D5" s="1">
        <v>18.399999999999999</v>
      </c>
      <c r="E5">
        <f>113.4/4</f>
        <v>28.35</v>
      </c>
      <c r="F5" s="4">
        <f>D5/E5</f>
        <v>0.64902998236331566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Supplements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Shahab Derhami</dc:creator>
  <cp:lastModifiedBy>Shahab Derhami</cp:lastModifiedBy>
  <dcterms:created xsi:type="dcterms:W3CDTF">2026-02-18T17:17:37Z</dcterms:created>
  <dcterms:modified xsi:type="dcterms:W3CDTF">2026-02-21T00:41:01Z</dcterms:modified>
</cp:coreProperties>
</file>